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<sst xmlns="http://schemas.openxmlformats.org/spreadsheetml/2006/main" count="106" uniqueCount="104">
  <si>
    <t xml:space="preserve">Неделя </t>
  </si>
  <si>
    <t>Количество объектов</t>
  </si>
  <si>
    <t>Кол-во заргистрированных пользователей</t>
  </si>
  <si>
    <t>Пользователей заргистриванных итого</t>
  </si>
  <si>
    <t>Прирост в %</t>
  </si>
  <si>
    <t>Среднее кол-то на объект</t>
  </si>
  <si>
    <t>Пользователи МП</t>
  </si>
  <si>
    <t>Активные пользователи МП</t>
  </si>
  <si>
    <t>W16(2024)</t>
  </si>
  <si>
    <t>W17(2024)</t>
  </si>
  <si>
    <t>W18(2024)</t>
  </si>
  <si>
    <t>W19(2024)</t>
  </si>
  <si>
    <t>W20(2024)</t>
  </si>
  <si>
    <t>W21(2024)</t>
  </si>
  <si>
    <t>W22(2024)</t>
  </si>
  <si>
    <t>W23(2024)</t>
  </si>
  <si>
    <t>W24(2024)</t>
  </si>
  <si>
    <t>W25(2024)</t>
  </si>
  <si>
    <t>W26(2024)</t>
  </si>
  <si>
    <t>W27(2024)</t>
  </si>
  <si>
    <t>W28(2024)</t>
  </si>
  <si>
    <t>W29(2024)</t>
  </si>
  <si>
    <t>W30(2024)</t>
  </si>
  <si>
    <t>W31(2024)</t>
  </si>
  <si>
    <t>W32(2024)</t>
  </si>
  <si>
    <t>W33(2024)</t>
  </si>
  <si>
    <t>W34(2024)</t>
  </si>
  <si>
    <t>W35(2024)</t>
  </si>
  <si>
    <t>W36(2024)</t>
  </si>
  <si>
    <t>W37(2024)</t>
  </si>
  <si>
    <t>W38(2024)</t>
  </si>
  <si>
    <t>W39(2024)</t>
  </si>
  <si>
    <t>W40(2024)</t>
  </si>
  <si>
    <t>W41(2024)</t>
  </si>
  <si>
    <t>W42(2024)</t>
  </si>
  <si>
    <t>W43(2024)</t>
  </si>
  <si>
    <t>W44(2024)</t>
  </si>
  <si>
    <t>W45(2024)</t>
  </si>
  <si>
    <t>W46(2024)</t>
  </si>
  <si>
    <t>W47(2024)</t>
  </si>
  <si>
    <t>W48(2024)</t>
  </si>
  <si>
    <t>W49(2024)</t>
  </si>
  <si>
    <t>W50(2024)</t>
  </si>
  <si>
    <t>W51(2024)</t>
  </si>
  <si>
    <t>W52(2024)</t>
  </si>
  <si>
    <t>W1(2025)</t>
  </si>
  <si>
    <t>W2(2025)</t>
  </si>
  <si>
    <t>W3(2025)</t>
  </si>
  <si>
    <t>W4(2025)</t>
  </si>
  <si>
    <t>W5(2025)</t>
  </si>
  <si>
    <t>W6(2025)</t>
  </si>
  <si>
    <t>W7(2025)</t>
  </si>
  <si>
    <t>W8(2025)</t>
  </si>
  <si>
    <t>W9(2025)</t>
  </si>
  <si>
    <t>W10(2025)</t>
  </si>
  <si>
    <t>W11(2025)</t>
  </si>
  <si>
    <t>W12(2025)</t>
  </si>
  <si>
    <t>W13(2025)</t>
  </si>
  <si>
    <t>W14(2025)</t>
  </si>
  <si>
    <t>W15(2025)</t>
  </si>
  <si>
    <t>W16(2025)</t>
  </si>
  <si>
    <t>W17(2025)</t>
  </si>
  <si>
    <t>W18(2025)</t>
  </si>
  <si>
    <t>W19(2025)</t>
  </si>
  <si>
    <t>W20(2025)</t>
  </si>
  <si>
    <t>W21(2025)</t>
  </si>
  <si>
    <t>W22(2025)</t>
  </si>
  <si>
    <t>W23(2025)</t>
  </si>
  <si>
    <t>W24(2025)</t>
  </si>
  <si>
    <t>W25(2025)</t>
  </si>
  <si>
    <t>W26(2025)</t>
  </si>
  <si>
    <t>W27(2025)</t>
  </si>
  <si>
    <t>W28(2025)</t>
  </si>
  <si>
    <t>W29(2025)</t>
  </si>
  <si>
    <t>W30(2025)</t>
  </si>
  <si>
    <t>W31(2025)</t>
  </si>
  <si>
    <t>W32(2025)</t>
  </si>
  <si>
    <t>W33(2025)</t>
  </si>
  <si>
    <t>W34(2025)</t>
  </si>
  <si>
    <t>W35(2025)</t>
  </si>
  <si>
    <t>W36(2025)</t>
  </si>
  <si>
    <t>W37(2025)</t>
  </si>
  <si>
    <t>W38(2025)</t>
  </si>
  <si>
    <t>W39(2025)</t>
  </si>
  <si>
    <t>W40(2025)</t>
  </si>
  <si>
    <t>W41(2025)</t>
  </si>
  <si>
    <t>W42(2025)</t>
  </si>
  <si>
    <t>W43(2025)</t>
  </si>
  <si>
    <t>W44(2025)</t>
  </si>
  <si>
    <t>W45(2025)</t>
  </si>
  <si>
    <t>W46(2025)</t>
  </si>
  <si>
    <t>W47(2025)</t>
  </si>
  <si>
    <t>W48(2025)</t>
  </si>
  <si>
    <t>W49(2025)</t>
  </si>
  <si>
    <t>W50(2025)</t>
  </si>
  <si>
    <t>W51(2025)</t>
  </si>
  <si>
    <t>W52(2025)</t>
  </si>
  <si>
    <t>W1(2026)</t>
  </si>
  <si>
    <t>W2(2026)</t>
  </si>
  <si>
    <t>W3(2026)</t>
  </si>
  <si>
    <t>W4(2026)</t>
  </si>
  <si>
    <t>W5(2026)</t>
  </si>
  <si>
    <t>W6(2026)</t>
  </si>
  <si>
    <t>W7(2026)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</si>
</sst>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" xfId="0" applyFont="1" applyNumberFormat="1"/>
    <xf borderId="1" fillId="0" fontId="3" numFmtId="0" xfId="0" applyAlignment="1" applyBorder="1" applyFont="1">
      <alignment horizontal="right" shrinkToFit="0" wrapText="1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3" numFmtId="2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0.63"/>
    <col customWidth="1" min="3" max="3" width="20.75"/>
    <col customWidth="1" min="4" max="4" width="16.63"/>
    <col customWidth="1" min="5" max="5" width="11.88"/>
    <col customWidth="1" min="6" max="6" width="13.5"/>
    <col customWidth="1" min="7" max="7" width="18.0"/>
    <col customWidth="1" min="9" max="9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4</v>
      </c>
      <c r="I1" s="1" t="s">
        <v>7</v>
      </c>
      <c r="J1" s="1" t="s">
        <v>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3" t="s">
        <v>8</v>
      </c>
      <c r="B2" s="4">
        <v>167.0</v>
      </c>
      <c r="C2" s="4">
        <v>330.0</v>
      </c>
      <c r="D2" s="4">
        <v>66148.0</v>
      </c>
      <c r="F2" s="5">
        <f t="shared" ref="F2:F92" si="1">D2/B2</f>
        <v>396.0958084</v>
      </c>
      <c r="G2" s="6">
        <v>560.0</v>
      </c>
      <c r="I2" s="7">
        <v>2226.0</v>
      </c>
      <c r="J2" s="8"/>
    </row>
    <row r="3" ht="15.75" customHeight="1">
      <c r="A3" s="3" t="s">
        <v>9</v>
      </c>
      <c r="B3" s="4">
        <v>167.0</v>
      </c>
      <c r="C3" s="4">
        <v>307.0</v>
      </c>
      <c r="D3" s="4">
        <f t="shared" ref="D3:D22" si="2">D2+C3</f>
        <v>66455</v>
      </c>
      <c r="E3" s="9">
        <f t="shared" ref="E3:E92" si="3">(D3*100/D2)-100</f>
        <v>0.4641107819</v>
      </c>
      <c r="F3" s="5">
        <f t="shared" si="1"/>
        <v>397.9341317</v>
      </c>
      <c r="G3" s="6">
        <v>240.0</v>
      </c>
      <c r="H3" s="9">
        <f t="shared" ref="H3:H92" si="4">(G3*100/G2)-100</f>
        <v>-57.14285714</v>
      </c>
      <c r="I3" s="7">
        <v>2302.0</v>
      </c>
      <c r="J3" s="9">
        <f t="shared" ref="J3:J92" si="5">(I3*100/I2)-100</f>
        <v>3.414195867</v>
      </c>
    </row>
    <row r="4" ht="15.75" customHeight="1">
      <c r="A4" s="3" t="s">
        <v>10</v>
      </c>
      <c r="B4" s="4">
        <v>167.0</v>
      </c>
      <c r="C4" s="4">
        <v>189.0</v>
      </c>
      <c r="D4" s="4">
        <f t="shared" si="2"/>
        <v>66644</v>
      </c>
      <c r="E4" s="9">
        <f t="shared" si="3"/>
        <v>0.2844029795</v>
      </c>
      <c r="F4" s="5">
        <f t="shared" si="1"/>
        <v>399.0658683</v>
      </c>
      <c r="G4" s="6">
        <v>408.0</v>
      </c>
      <c r="H4" s="4">
        <f t="shared" si="4"/>
        <v>70</v>
      </c>
      <c r="I4" s="7">
        <v>16211.0</v>
      </c>
      <c r="J4" s="5">
        <f t="shared" si="5"/>
        <v>604.2137272</v>
      </c>
    </row>
    <row r="5" ht="15.75" customHeight="1">
      <c r="A5" s="3" t="s">
        <v>11</v>
      </c>
      <c r="B5" s="4">
        <v>167.0</v>
      </c>
      <c r="C5" s="4">
        <v>210.0</v>
      </c>
      <c r="D5" s="4">
        <f t="shared" si="2"/>
        <v>66854</v>
      </c>
      <c r="E5" s="9">
        <f t="shared" si="3"/>
        <v>0.3151071364</v>
      </c>
      <c r="F5" s="5">
        <f t="shared" si="1"/>
        <v>400.3233533</v>
      </c>
      <c r="G5" s="6">
        <v>625.0</v>
      </c>
      <c r="H5" s="9">
        <f t="shared" si="4"/>
        <v>53.18627451</v>
      </c>
      <c r="I5" s="7">
        <v>21559.0</v>
      </c>
      <c r="J5" s="10">
        <f t="shared" si="5"/>
        <v>32.9899451</v>
      </c>
    </row>
    <row r="6" ht="15.75" customHeight="1">
      <c r="A6" s="3" t="s">
        <v>12</v>
      </c>
      <c r="B6" s="4">
        <v>167.0</v>
      </c>
      <c r="C6" s="4">
        <v>255.0</v>
      </c>
      <c r="D6" s="4">
        <f t="shared" si="2"/>
        <v>67109</v>
      </c>
      <c r="E6" s="9">
        <f t="shared" si="3"/>
        <v>0.3814281868</v>
      </c>
      <c r="F6" s="5">
        <f t="shared" si="1"/>
        <v>401.8502994</v>
      </c>
      <c r="G6" s="6">
        <v>1210.0</v>
      </c>
      <c r="H6" s="5">
        <f t="shared" si="4"/>
        <v>93.6</v>
      </c>
      <c r="I6" s="7">
        <v>22707.0</v>
      </c>
      <c r="J6" s="9">
        <f t="shared" si="5"/>
        <v>5.324922306</v>
      </c>
    </row>
    <row r="7" ht="15.75" customHeight="1">
      <c r="A7" s="3" t="s">
        <v>13</v>
      </c>
      <c r="B7" s="4">
        <v>167.0</v>
      </c>
      <c r="C7" s="4">
        <v>261.0</v>
      </c>
      <c r="D7" s="4">
        <f t="shared" si="2"/>
        <v>67370</v>
      </c>
      <c r="E7" s="9">
        <f t="shared" si="3"/>
        <v>0.388919519</v>
      </c>
      <c r="F7" s="5">
        <f t="shared" si="1"/>
        <v>403.4131737</v>
      </c>
      <c r="G7" s="6">
        <v>295.0</v>
      </c>
      <c r="H7" s="9">
        <f t="shared" si="4"/>
        <v>-75.61983471</v>
      </c>
      <c r="I7" s="7">
        <v>20612.0</v>
      </c>
      <c r="J7" s="10">
        <f t="shared" si="5"/>
        <v>-9.226229797</v>
      </c>
    </row>
    <row r="8" ht="15.75" customHeight="1">
      <c r="A8" s="3" t="s">
        <v>14</v>
      </c>
      <c r="B8" s="4">
        <v>167.0</v>
      </c>
      <c r="C8" s="4">
        <v>317.0</v>
      </c>
      <c r="D8" s="4">
        <f t="shared" si="2"/>
        <v>67687</v>
      </c>
      <c r="E8" s="9">
        <f t="shared" si="3"/>
        <v>0.4705358468</v>
      </c>
      <c r="F8" s="5">
        <f t="shared" si="1"/>
        <v>405.3113772</v>
      </c>
      <c r="G8" s="6">
        <v>311.0</v>
      </c>
      <c r="H8" s="11">
        <f t="shared" si="4"/>
        <v>5.423728814</v>
      </c>
      <c r="I8" s="7">
        <v>23079.0</v>
      </c>
      <c r="J8" s="10">
        <f t="shared" si="5"/>
        <v>11.96875606</v>
      </c>
    </row>
    <row r="9" ht="15.75" customHeight="1">
      <c r="A9" s="3" t="s">
        <v>15</v>
      </c>
      <c r="B9" s="4">
        <v>167.0</v>
      </c>
      <c r="C9" s="4">
        <v>306.0</v>
      </c>
      <c r="D9" s="4">
        <f t="shared" si="2"/>
        <v>67993</v>
      </c>
      <c r="E9" s="9">
        <f t="shared" si="3"/>
        <v>0.4520809018</v>
      </c>
      <c r="F9" s="5">
        <f t="shared" si="1"/>
        <v>407.1437126</v>
      </c>
      <c r="G9" s="6">
        <v>446.0</v>
      </c>
      <c r="H9" s="9">
        <f t="shared" si="4"/>
        <v>43.40836013</v>
      </c>
      <c r="I9" s="4">
        <v>23202.0</v>
      </c>
      <c r="J9" s="9">
        <f t="shared" si="5"/>
        <v>0.5329520343</v>
      </c>
    </row>
    <row r="10" ht="15.75" customHeight="1">
      <c r="A10" s="3" t="s">
        <v>16</v>
      </c>
      <c r="B10" s="4">
        <v>167.0</v>
      </c>
      <c r="C10" s="4">
        <v>295.0</v>
      </c>
      <c r="D10" s="4">
        <f t="shared" si="2"/>
        <v>68288</v>
      </c>
      <c r="E10" s="9">
        <f t="shared" si="3"/>
        <v>0.4338681923</v>
      </c>
      <c r="F10" s="5">
        <f t="shared" si="1"/>
        <v>408.9101796</v>
      </c>
      <c r="G10" s="6">
        <v>518.0</v>
      </c>
      <c r="H10" s="10">
        <f t="shared" si="4"/>
        <v>16.14349776</v>
      </c>
      <c r="I10" s="7">
        <v>22986.0</v>
      </c>
      <c r="J10" s="9">
        <f t="shared" si="5"/>
        <v>-0.9309542281</v>
      </c>
    </row>
    <row r="11" ht="15.75" customHeight="1">
      <c r="A11" s="3" t="s">
        <v>17</v>
      </c>
      <c r="B11" s="4">
        <v>167.0</v>
      </c>
      <c r="C11" s="4">
        <v>240.0</v>
      </c>
      <c r="D11" s="4">
        <f t="shared" si="2"/>
        <v>68528</v>
      </c>
      <c r="E11" s="9">
        <f t="shared" si="3"/>
        <v>0.351452671</v>
      </c>
      <c r="F11" s="5">
        <f t="shared" si="1"/>
        <v>410.3473054</v>
      </c>
      <c r="G11" s="6">
        <v>353.0</v>
      </c>
      <c r="H11" s="9">
        <f t="shared" si="4"/>
        <v>-31.85328185</v>
      </c>
      <c r="I11" s="7">
        <v>22817.0</v>
      </c>
      <c r="J11" s="10">
        <f t="shared" si="5"/>
        <v>-0.7352301401</v>
      </c>
    </row>
    <row r="12" ht="15.75" customHeight="1">
      <c r="A12" s="3" t="s">
        <v>18</v>
      </c>
      <c r="B12" s="4">
        <v>167.0</v>
      </c>
      <c r="C12" s="4">
        <v>330.0</v>
      </c>
      <c r="D12" s="4">
        <f t="shared" si="2"/>
        <v>68858</v>
      </c>
      <c r="E12" s="9">
        <f t="shared" si="3"/>
        <v>0.4815549848</v>
      </c>
      <c r="F12" s="5">
        <f t="shared" si="1"/>
        <v>412.3233533</v>
      </c>
      <c r="G12" s="6">
        <v>567.0</v>
      </c>
      <c r="H12" s="9">
        <f t="shared" si="4"/>
        <v>60.62322946</v>
      </c>
      <c r="I12" s="7">
        <v>24335.0</v>
      </c>
      <c r="J12" s="9">
        <f t="shared" si="5"/>
        <v>6.652934216</v>
      </c>
    </row>
    <row r="13" ht="15.75" customHeight="1">
      <c r="A13" s="3" t="s">
        <v>19</v>
      </c>
      <c r="B13" s="4">
        <v>167.0</v>
      </c>
      <c r="C13" s="4">
        <v>293.0</v>
      </c>
      <c r="D13" s="4">
        <f t="shared" si="2"/>
        <v>69151</v>
      </c>
      <c r="E13" s="9">
        <f t="shared" si="3"/>
        <v>0.4255133754</v>
      </c>
      <c r="F13" s="5">
        <f t="shared" si="1"/>
        <v>414.0778443</v>
      </c>
      <c r="G13" s="6">
        <v>426.0</v>
      </c>
      <c r="H13" s="9">
        <f t="shared" si="4"/>
        <v>-24.86772487</v>
      </c>
      <c r="I13" s="7">
        <v>22996.0</v>
      </c>
      <c r="J13" s="9">
        <f t="shared" si="5"/>
        <v>-5.502362852</v>
      </c>
    </row>
    <row r="14" ht="15.75" customHeight="1">
      <c r="A14" s="3" t="s">
        <v>20</v>
      </c>
      <c r="B14" s="4">
        <v>167.0</v>
      </c>
      <c r="C14" s="4">
        <v>266.0</v>
      </c>
      <c r="D14" s="4">
        <f t="shared" si="2"/>
        <v>69417</v>
      </c>
      <c r="E14" s="9">
        <f t="shared" si="3"/>
        <v>0.3846654423</v>
      </c>
      <c r="F14" s="5">
        <f t="shared" si="1"/>
        <v>415.6706587</v>
      </c>
      <c r="G14" s="4">
        <v>426.0</v>
      </c>
      <c r="H14" s="9">
        <f t="shared" si="4"/>
        <v>0</v>
      </c>
      <c r="I14" s="4">
        <v>22689.0</v>
      </c>
      <c r="J14" s="9">
        <f t="shared" si="5"/>
        <v>-1.335014785</v>
      </c>
    </row>
    <row r="15" ht="15.75" customHeight="1">
      <c r="A15" s="3" t="s">
        <v>21</v>
      </c>
      <c r="B15" s="4">
        <v>167.0</v>
      </c>
      <c r="C15" s="4">
        <v>257.0</v>
      </c>
      <c r="D15" s="4">
        <f t="shared" si="2"/>
        <v>69674</v>
      </c>
      <c r="E15" s="9">
        <f t="shared" si="3"/>
        <v>0.3702263134</v>
      </c>
      <c r="F15" s="5">
        <f t="shared" si="1"/>
        <v>417.2095808</v>
      </c>
      <c r="G15" s="4">
        <v>515.0</v>
      </c>
      <c r="H15" s="9">
        <f t="shared" si="4"/>
        <v>20.89201878</v>
      </c>
      <c r="I15" s="4">
        <v>22610.0</v>
      </c>
      <c r="J15" s="9">
        <f t="shared" si="5"/>
        <v>-0.3481863458</v>
      </c>
    </row>
    <row r="16" ht="15.75" customHeight="1">
      <c r="A16" s="3" t="s">
        <v>22</v>
      </c>
      <c r="B16" s="4">
        <v>167.0</v>
      </c>
      <c r="C16" s="4">
        <v>297.0</v>
      </c>
      <c r="D16" s="4">
        <f t="shared" si="2"/>
        <v>69971</v>
      </c>
      <c r="E16" s="9">
        <f t="shared" si="3"/>
        <v>0.4262709189</v>
      </c>
      <c r="F16" s="5">
        <f t="shared" si="1"/>
        <v>418.988024</v>
      </c>
      <c r="G16" s="4">
        <v>478.0</v>
      </c>
      <c r="H16" s="9">
        <f t="shared" si="4"/>
        <v>-7.184466019</v>
      </c>
      <c r="I16" s="4">
        <v>23660.0</v>
      </c>
      <c r="J16" s="9">
        <f t="shared" si="5"/>
        <v>4.643962848</v>
      </c>
    </row>
    <row r="17" ht="15.75" customHeight="1">
      <c r="A17" s="12" t="s">
        <v>23</v>
      </c>
      <c r="B17" s="13">
        <v>167.0</v>
      </c>
      <c r="C17" s="13">
        <v>300.0</v>
      </c>
      <c r="D17" s="13">
        <f t="shared" si="2"/>
        <v>70271</v>
      </c>
      <c r="E17" s="14">
        <f t="shared" si="3"/>
        <v>0.4287490532</v>
      </c>
      <c r="F17" s="15">
        <f t="shared" si="1"/>
        <v>420.7844311</v>
      </c>
      <c r="G17" s="13">
        <v>599.0</v>
      </c>
      <c r="H17" s="14">
        <f t="shared" si="4"/>
        <v>25.31380753</v>
      </c>
      <c r="I17" s="13">
        <v>22812.0</v>
      </c>
      <c r="J17" s="14">
        <f t="shared" si="5"/>
        <v>-3.584108199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5.75" customHeight="1">
      <c r="A18" s="3" t="s">
        <v>24</v>
      </c>
      <c r="B18" s="4">
        <v>167.0</v>
      </c>
      <c r="C18" s="4">
        <v>234.0</v>
      </c>
      <c r="D18" s="13">
        <f t="shared" si="2"/>
        <v>70505</v>
      </c>
      <c r="E18" s="14">
        <f t="shared" si="3"/>
        <v>0.332996542</v>
      </c>
      <c r="F18" s="15">
        <f t="shared" si="1"/>
        <v>422.1856287</v>
      </c>
      <c r="G18" s="4">
        <v>517.0</v>
      </c>
      <c r="H18" s="14">
        <f t="shared" si="4"/>
        <v>-13.68948247</v>
      </c>
      <c r="I18" s="4">
        <v>22604.0</v>
      </c>
      <c r="J18" s="14">
        <f t="shared" si="5"/>
        <v>-0.9118008066</v>
      </c>
    </row>
    <row r="19" ht="15.75" customHeight="1">
      <c r="A19" s="3" t="s">
        <v>25</v>
      </c>
      <c r="B19" s="4">
        <v>167.0</v>
      </c>
      <c r="C19" s="4">
        <v>222.0</v>
      </c>
      <c r="D19" s="13">
        <f t="shared" si="2"/>
        <v>70727</v>
      </c>
      <c r="E19" s="14">
        <f t="shared" si="3"/>
        <v>0.3148712857</v>
      </c>
      <c r="F19" s="15">
        <f t="shared" si="1"/>
        <v>423.5149701</v>
      </c>
      <c r="G19" s="4">
        <v>429.0</v>
      </c>
      <c r="H19" s="14">
        <f t="shared" si="4"/>
        <v>-17.0212766</v>
      </c>
      <c r="I19" s="4">
        <v>22557.0</v>
      </c>
      <c r="J19" s="14">
        <f t="shared" si="5"/>
        <v>-0.2079278004</v>
      </c>
    </row>
    <row r="20" ht="15.75" customHeight="1">
      <c r="A20" s="3" t="s">
        <v>26</v>
      </c>
      <c r="B20" s="4">
        <v>157.0</v>
      </c>
      <c r="C20" s="4">
        <v>231.0</v>
      </c>
      <c r="D20" s="13">
        <f t="shared" si="2"/>
        <v>70958</v>
      </c>
      <c r="E20" s="14">
        <f t="shared" si="3"/>
        <v>0.3266079432</v>
      </c>
      <c r="F20" s="15">
        <f t="shared" si="1"/>
        <v>451.9617834</v>
      </c>
      <c r="G20" s="4">
        <v>423.0</v>
      </c>
      <c r="H20" s="14">
        <f t="shared" si="4"/>
        <v>-1.398601399</v>
      </c>
      <c r="I20" s="4">
        <v>22953.0</v>
      </c>
      <c r="J20" s="14">
        <f t="shared" si="5"/>
        <v>1.7555526</v>
      </c>
    </row>
    <row r="21" ht="15.75" customHeight="1">
      <c r="A21" s="3" t="s">
        <v>27</v>
      </c>
      <c r="B21" s="4">
        <v>163.0</v>
      </c>
      <c r="C21" s="4">
        <v>306.0</v>
      </c>
      <c r="D21" s="13">
        <f t="shared" si="2"/>
        <v>71264</v>
      </c>
      <c r="E21" s="14">
        <f t="shared" si="3"/>
        <v>0.4312410158</v>
      </c>
      <c r="F21" s="15">
        <f t="shared" si="1"/>
        <v>437.202454</v>
      </c>
      <c r="G21" s="4">
        <v>509.0</v>
      </c>
      <c r="H21" s="14">
        <f t="shared" si="4"/>
        <v>20.33096927</v>
      </c>
      <c r="I21" s="4">
        <v>23616.0</v>
      </c>
      <c r="J21" s="14">
        <f t="shared" si="5"/>
        <v>2.888511306</v>
      </c>
    </row>
    <row r="22" ht="15.75" customHeight="1">
      <c r="A22" s="3" t="s">
        <v>28</v>
      </c>
      <c r="B22" s="4">
        <v>164.0</v>
      </c>
      <c r="C22" s="4">
        <v>2707.0</v>
      </c>
      <c r="D22" s="13">
        <f t="shared" si="2"/>
        <v>73971</v>
      </c>
      <c r="E22" s="14">
        <f t="shared" si="3"/>
        <v>3.798551863</v>
      </c>
      <c r="F22" s="15">
        <f t="shared" si="1"/>
        <v>451.0426829</v>
      </c>
      <c r="G22" s="4">
        <v>946.0</v>
      </c>
      <c r="H22" s="14">
        <f t="shared" si="4"/>
        <v>85.8546169</v>
      </c>
      <c r="I22" s="4">
        <v>29064.0</v>
      </c>
      <c r="J22" s="14">
        <f t="shared" si="5"/>
        <v>23.06910569</v>
      </c>
    </row>
    <row r="23" ht="15.75" customHeight="1">
      <c r="A23" s="3" t="s">
        <v>29</v>
      </c>
      <c r="B23" s="4">
        <v>164.0</v>
      </c>
      <c r="C23" s="4">
        <v>340.0</v>
      </c>
      <c r="D23" s="4">
        <v>74311.0</v>
      </c>
      <c r="E23" s="14">
        <f t="shared" si="3"/>
        <v>0.4596395885</v>
      </c>
      <c r="F23" s="15">
        <f t="shared" si="1"/>
        <v>453.1158537</v>
      </c>
      <c r="G23" s="4">
        <v>584.0</v>
      </c>
      <c r="H23" s="14">
        <f t="shared" si="4"/>
        <v>-38.26638478</v>
      </c>
      <c r="I23" s="4">
        <v>28806.0</v>
      </c>
      <c r="J23" s="14">
        <f t="shared" si="5"/>
        <v>-0.8876961189</v>
      </c>
    </row>
    <row r="24" ht="15.75" customHeight="1">
      <c r="A24" s="3" t="s">
        <v>30</v>
      </c>
      <c r="B24" s="4">
        <v>165.0</v>
      </c>
      <c r="C24" s="4">
        <v>329.0</v>
      </c>
      <c r="D24" s="4">
        <f t="shared" ref="D24:D92" si="6">D23+C24</f>
        <v>74640</v>
      </c>
      <c r="E24" s="14">
        <f t="shared" si="3"/>
        <v>0.4427339156</v>
      </c>
      <c r="F24" s="15">
        <f t="shared" si="1"/>
        <v>452.3636364</v>
      </c>
      <c r="G24" s="4">
        <v>580.0</v>
      </c>
      <c r="H24" s="14">
        <f t="shared" si="4"/>
        <v>-0.6849315068</v>
      </c>
      <c r="I24" s="4">
        <v>28846.0</v>
      </c>
      <c r="J24" s="14">
        <f t="shared" si="5"/>
        <v>0.1388599597</v>
      </c>
    </row>
    <row r="25" ht="15.75" customHeight="1">
      <c r="A25" s="3" t="s">
        <v>31</v>
      </c>
      <c r="B25" s="4">
        <v>166.0</v>
      </c>
      <c r="C25" s="4">
        <v>227.0</v>
      </c>
      <c r="D25" s="4">
        <f t="shared" si="6"/>
        <v>74867</v>
      </c>
      <c r="E25" s="14">
        <f t="shared" si="3"/>
        <v>0.3041264737</v>
      </c>
      <c r="F25" s="15">
        <f t="shared" si="1"/>
        <v>451.0060241</v>
      </c>
      <c r="G25" s="4">
        <v>489.0</v>
      </c>
      <c r="H25" s="14">
        <f t="shared" si="4"/>
        <v>-15.68965517</v>
      </c>
      <c r="I25" s="4">
        <v>28681.0</v>
      </c>
      <c r="J25" s="14">
        <f t="shared" si="5"/>
        <v>-0.5720030507</v>
      </c>
    </row>
    <row r="26" ht="15.75" customHeight="1">
      <c r="A26" s="3" t="s">
        <v>32</v>
      </c>
      <c r="B26" s="4">
        <v>167.0</v>
      </c>
      <c r="C26" s="4">
        <v>570.0</v>
      </c>
      <c r="D26" s="4">
        <f t="shared" si="6"/>
        <v>75437</v>
      </c>
      <c r="E26" s="14">
        <f t="shared" si="3"/>
        <v>0.7613501276</v>
      </c>
      <c r="F26" s="15">
        <f t="shared" si="1"/>
        <v>451.7185629</v>
      </c>
      <c r="G26" s="4">
        <v>791.0</v>
      </c>
      <c r="H26" s="14">
        <f t="shared" si="4"/>
        <v>61.75869121</v>
      </c>
      <c r="I26" s="4">
        <v>28715.0</v>
      </c>
      <c r="J26" s="14">
        <f t="shared" si="5"/>
        <v>0.1185453785</v>
      </c>
    </row>
    <row r="27" ht="15.75" customHeight="1">
      <c r="A27" s="3" t="s">
        <v>33</v>
      </c>
      <c r="B27" s="4">
        <v>168.0</v>
      </c>
      <c r="C27" s="4">
        <v>408.0</v>
      </c>
      <c r="D27" s="4">
        <f t="shared" si="6"/>
        <v>75845</v>
      </c>
      <c r="E27" s="14">
        <f t="shared" si="3"/>
        <v>0.5408486552</v>
      </c>
      <c r="F27" s="15">
        <f t="shared" si="1"/>
        <v>451.4583333</v>
      </c>
      <c r="G27" s="4">
        <v>659.0</v>
      </c>
      <c r="H27" s="14">
        <f t="shared" si="4"/>
        <v>-16.68773704</v>
      </c>
      <c r="I27" s="4">
        <v>29238.0</v>
      </c>
      <c r="J27" s="14">
        <f t="shared" si="5"/>
        <v>1.821347728</v>
      </c>
    </row>
    <row r="28" ht="15.75" customHeight="1">
      <c r="A28" s="3" t="s">
        <v>34</v>
      </c>
      <c r="B28" s="4">
        <v>169.0</v>
      </c>
      <c r="C28" s="4">
        <v>381.0</v>
      </c>
      <c r="D28" s="4">
        <f t="shared" si="6"/>
        <v>76226</v>
      </c>
      <c r="E28" s="14">
        <f t="shared" si="3"/>
        <v>0.5023402993</v>
      </c>
      <c r="F28" s="15">
        <f t="shared" si="1"/>
        <v>451.0414201</v>
      </c>
      <c r="G28" s="4">
        <v>485.0</v>
      </c>
      <c r="H28" s="14">
        <f t="shared" si="4"/>
        <v>-26.40364188</v>
      </c>
      <c r="I28" s="4">
        <v>29656.0</v>
      </c>
      <c r="J28" s="14">
        <f t="shared" si="5"/>
        <v>1.429646351</v>
      </c>
    </row>
    <row r="29" ht="15.75" customHeight="1">
      <c r="A29" s="3" t="s">
        <v>35</v>
      </c>
      <c r="B29" s="4">
        <v>169.0</v>
      </c>
      <c r="C29" s="4">
        <v>228.0</v>
      </c>
      <c r="D29" s="4">
        <f t="shared" si="6"/>
        <v>76454</v>
      </c>
      <c r="E29" s="14">
        <f t="shared" si="3"/>
        <v>0.2991105397</v>
      </c>
      <c r="F29" s="15">
        <f t="shared" si="1"/>
        <v>452.3905325</v>
      </c>
      <c r="G29" s="4">
        <v>908.0</v>
      </c>
      <c r="H29" s="14">
        <f t="shared" si="4"/>
        <v>87.21649485</v>
      </c>
      <c r="I29" s="4">
        <v>29333.0</v>
      </c>
      <c r="J29" s="14">
        <f t="shared" si="5"/>
        <v>-1.089155651</v>
      </c>
    </row>
    <row r="30" ht="15.75" customHeight="1">
      <c r="A30" s="3" t="s">
        <v>36</v>
      </c>
      <c r="B30" s="4">
        <v>171.0</v>
      </c>
      <c r="C30" s="4">
        <v>335.0</v>
      </c>
      <c r="D30" s="4">
        <f t="shared" si="6"/>
        <v>76789</v>
      </c>
      <c r="E30" s="14">
        <f t="shared" si="3"/>
        <v>0.4381719727</v>
      </c>
      <c r="F30" s="15">
        <f t="shared" si="1"/>
        <v>449.0584795</v>
      </c>
      <c r="G30" s="4">
        <v>574.0</v>
      </c>
      <c r="H30" s="14">
        <f t="shared" si="4"/>
        <v>-36.78414097</v>
      </c>
      <c r="I30" s="4">
        <v>28878.0</v>
      </c>
      <c r="J30" s="14">
        <f t="shared" si="5"/>
        <v>-1.55115399</v>
      </c>
    </row>
    <row r="31" ht="15.75" customHeight="1">
      <c r="A31" s="3" t="s">
        <v>37</v>
      </c>
      <c r="B31" s="4">
        <v>174.0</v>
      </c>
      <c r="C31" s="4">
        <v>270.0</v>
      </c>
      <c r="D31" s="4">
        <f t="shared" si="6"/>
        <v>77059</v>
      </c>
      <c r="E31" s="14">
        <f t="shared" si="3"/>
        <v>0.3516128612</v>
      </c>
      <c r="F31" s="15">
        <f t="shared" si="1"/>
        <v>442.8678161</v>
      </c>
      <c r="G31" s="4">
        <v>505.0</v>
      </c>
      <c r="H31" s="14">
        <f t="shared" si="4"/>
        <v>-12.02090592</v>
      </c>
      <c r="I31" s="4">
        <v>29706.0</v>
      </c>
      <c r="J31" s="14">
        <f t="shared" si="5"/>
        <v>2.867234573</v>
      </c>
    </row>
    <row r="32" ht="15.75" customHeight="1">
      <c r="A32" s="3" t="s">
        <v>38</v>
      </c>
      <c r="B32" s="4">
        <v>176.0</v>
      </c>
      <c r="C32" s="4">
        <v>322.0</v>
      </c>
      <c r="D32" s="4">
        <f t="shared" si="6"/>
        <v>77381</v>
      </c>
      <c r="E32" s="14">
        <f t="shared" si="3"/>
        <v>0.4178616385</v>
      </c>
      <c r="F32" s="15">
        <f t="shared" si="1"/>
        <v>439.6647727</v>
      </c>
      <c r="G32" s="4">
        <v>563.0</v>
      </c>
      <c r="H32" s="14">
        <f t="shared" si="4"/>
        <v>11.48514851</v>
      </c>
      <c r="I32" s="4">
        <v>29374.0</v>
      </c>
      <c r="J32" s="14">
        <f t="shared" si="5"/>
        <v>-1.117619336</v>
      </c>
    </row>
    <row r="33" ht="15.75" customHeight="1">
      <c r="A33" s="3" t="s">
        <v>39</v>
      </c>
      <c r="B33" s="4">
        <v>176.0</v>
      </c>
      <c r="C33" s="4">
        <v>413.0</v>
      </c>
      <c r="D33" s="4">
        <f t="shared" si="6"/>
        <v>77794</v>
      </c>
      <c r="E33" s="14">
        <f t="shared" si="3"/>
        <v>0.5337227485</v>
      </c>
      <c r="F33" s="15">
        <f t="shared" si="1"/>
        <v>442.0113636</v>
      </c>
      <c r="G33" s="4">
        <v>521.0</v>
      </c>
      <c r="H33" s="14">
        <f t="shared" si="4"/>
        <v>-7.460035524</v>
      </c>
      <c r="I33" s="4">
        <v>29427.0</v>
      </c>
      <c r="J33" s="14">
        <f t="shared" si="5"/>
        <v>0.1804316743</v>
      </c>
    </row>
    <row r="34" ht="15.75" customHeight="1">
      <c r="A34" s="3" t="s">
        <v>40</v>
      </c>
      <c r="B34" s="4">
        <v>176.0</v>
      </c>
      <c r="C34" s="4">
        <v>327.0</v>
      </c>
      <c r="D34" s="4">
        <f t="shared" si="6"/>
        <v>78121</v>
      </c>
      <c r="E34" s="14">
        <f t="shared" si="3"/>
        <v>0.4203409003</v>
      </c>
      <c r="F34" s="15">
        <f t="shared" si="1"/>
        <v>443.8693182</v>
      </c>
      <c r="G34" s="4">
        <v>785.0</v>
      </c>
      <c r="H34" s="14">
        <f t="shared" si="4"/>
        <v>50.67178503</v>
      </c>
      <c r="I34" s="4">
        <v>29387.0</v>
      </c>
      <c r="J34" s="14">
        <f t="shared" si="5"/>
        <v>-0.1359295885</v>
      </c>
    </row>
    <row r="35" ht="15.75" customHeight="1">
      <c r="A35" s="3" t="s">
        <v>41</v>
      </c>
      <c r="B35" s="4">
        <v>179.0</v>
      </c>
      <c r="C35" s="4">
        <v>309.0</v>
      </c>
      <c r="D35" s="4">
        <f t="shared" si="6"/>
        <v>78430</v>
      </c>
      <c r="E35" s="14">
        <f t="shared" si="3"/>
        <v>0.3955402517</v>
      </c>
      <c r="F35" s="15">
        <f t="shared" si="1"/>
        <v>438.1564246</v>
      </c>
      <c r="G35" s="4">
        <v>523.0</v>
      </c>
      <c r="H35" s="14">
        <f t="shared" si="4"/>
        <v>-33.37579618</v>
      </c>
      <c r="I35" s="4">
        <v>29553.0</v>
      </c>
      <c r="J35" s="14">
        <f t="shared" si="5"/>
        <v>0.5648756253</v>
      </c>
    </row>
    <row r="36" ht="15.75" customHeight="1">
      <c r="A36" s="3" t="s">
        <v>42</v>
      </c>
      <c r="B36" s="4">
        <v>179.0</v>
      </c>
      <c r="C36" s="4">
        <v>464.0</v>
      </c>
      <c r="D36" s="4">
        <f t="shared" si="6"/>
        <v>78894</v>
      </c>
      <c r="E36" s="14">
        <f t="shared" si="3"/>
        <v>0.5916103532</v>
      </c>
      <c r="F36" s="15">
        <f t="shared" si="1"/>
        <v>440.7486034</v>
      </c>
      <c r="G36" s="4">
        <v>663.0</v>
      </c>
      <c r="H36" s="14">
        <f t="shared" si="4"/>
        <v>26.76864245</v>
      </c>
      <c r="I36" s="4">
        <v>29881.0</v>
      </c>
      <c r="J36" s="14">
        <f t="shared" si="5"/>
        <v>1.109870402</v>
      </c>
    </row>
    <row r="37" ht="15.75" customHeight="1">
      <c r="A37" s="3" t="s">
        <v>43</v>
      </c>
      <c r="B37" s="4">
        <v>181.0</v>
      </c>
      <c r="C37" s="4">
        <v>419.0</v>
      </c>
      <c r="D37" s="4">
        <f t="shared" si="6"/>
        <v>79313</v>
      </c>
      <c r="E37" s="14">
        <f t="shared" si="3"/>
        <v>0.5310923518</v>
      </c>
      <c r="F37" s="15">
        <f t="shared" si="1"/>
        <v>438.1933702</v>
      </c>
      <c r="G37" s="4">
        <v>725.0</v>
      </c>
      <c r="H37" s="14">
        <f t="shared" si="4"/>
        <v>9.351432881</v>
      </c>
      <c r="I37" s="4">
        <v>30152.0</v>
      </c>
      <c r="J37" s="14">
        <f t="shared" si="5"/>
        <v>0.9069308256</v>
      </c>
    </row>
    <row r="38" ht="15.75" customHeight="1">
      <c r="A38" s="3" t="s">
        <v>44</v>
      </c>
      <c r="B38" s="4">
        <v>181.0</v>
      </c>
      <c r="C38" s="4">
        <v>441.0</v>
      </c>
      <c r="D38" s="4">
        <f t="shared" si="6"/>
        <v>79754</v>
      </c>
      <c r="E38" s="14">
        <f t="shared" si="3"/>
        <v>0.5560248635</v>
      </c>
      <c r="F38" s="15">
        <f t="shared" si="1"/>
        <v>440.6298343</v>
      </c>
      <c r="G38" s="4">
        <v>685.0</v>
      </c>
      <c r="H38" s="14">
        <f t="shared" si="4"/>
        <v>-5.517241379</v>
      </c>
      <c r="I38" s="4">
        <v>30477.0</v>
      </c>
      <c r="J38" s="14">
        <f t="shared" si="5"/>
        <v>1.077872115</v>
      </c>
    </row>
    <row r="39" ht="15.75" customHeight="1">
      <c r="A39" s="3" t="s">
        <v>45</v>
      </c>
      <c r="B39" s="4">
        <v>181.0</v>
      </c>
      <c r="C39" s="4">
        <v>364.0</v>
      </c>
      <c r="D39" s="4">
        <f t="shared" si="6"/>
        <v>80118</v>
      </c>
      <c r="E39" s="14">
        <f t="shared" si="3"/>
        <v>0.4564034406</v>
      </c>
      <c r="F39" s="15">
        <f t="shared" si="1"/>
        <v>442.640884</v>
      </c>
      <c r="G39" s="4">
        <v>598.0</v>
      </c>
      <c r="H39" s="14">
        <f t="shared" si="4"/>
        <v>-12.70072993</v>
      </c>
      <c r="I39" s="4">
        <v>26621.0</v>
      </c>
      <c r="J39" s="14">
        <f t="shared" si="5"/>
        <v>-12.65216393</v>
      </c>
    </row>
    <row r="40" ht="15.75" customHeight="1">
      <c r="A40" s="3" t="s">
        <v>46</v>
      </c>
      <c r="B40" s="4">
        <v>181.0</v>
      </c>
      <c r="C40" s="4">
        <v>361.0</v>
      </c>
      <c r="D40" s="4">
        <f t="shared" si="6"/>
        <v>80479</v>
      </c>
      <c r="E40" s="14">
        <f t="shared" si="3"/>
        <v>0.4505853866</v>
      </c>
      <c r="F40" s="15">
        <f t="shared" si="1"/>
        <v>444.6353591</v>
      </c>
      <c r="G40" s="4">
        <v>605.0</v>
      </c>
      <c r="H40" s="14">
        <f t="shared" si="4"/>
        <v>1.170568562</v>
      </c>
      <c r="I40" s="4">
        <v>27745.0</v>
      </c>
      <c r="J40" s="14">
        <f t="shared" si="5"/>
        <v>4.22223057</v>
      </c>
    </row>
    <row r="41" ht="15.75" customHeight="1">
      <c r="A41" s="3" t="s">
        <v>47</v>
      </c>
      <c r="B41" s="4">
        <v>180.0</v>
      </c>
      <c r="C41" s="4">
        <v>391.0</v>
      </c>
      <c r="D41" s="4">
        <f t="shared" si="6"/>
        <v>80870</v>
      </c>
      <c r="E41" s="14">
        <f t="shared" si="3"/>
        <v>0.4858410269</v>
      </c>
      <c r="F41" s="15">
        <f t="shared" si="1"/>
        <v>449.2777778</v>
      </c>
      <c r="G41" s="4">
        <v>619.0</v>
      </c>
      <c r="H41" s="14">
        <f t="shared" si="4"/>
        <v>2.314049587</v>
      </c>
      <c r="I41" s="4">
        <v>28958.0</v>
      </c>
      <c r="J41" s="14">
        <f t="shared" si="5"/>
        <v>4.371958912</v>
      </c>
    </row>
    <row r="42" ht="15.75" customHeight="1">
      <c r="A42" s="3" t="s">
        <v>48</v>
      </c>
      <c r="B42" s="4">
        <v>180.0</v>
      </c>
      <c r="C42" s="4">
        <v>348.0</v>
      </c>
      <c r="D42" s="4">
        <f t="shared" si="6"/>
        <v>81218</v>
      </c>
      <c r="E42" s="14">
        <f t="shared" si="3"/>
        <v>0.4303202671</v>
      </c>
      <c r="F42" s="15">
        <f t="shared" si="1"/>
        <v>451.2111111</v>
      </c>
      <c r="G42" s="4">
        <v>874.0</v>
      </c>
      <c r="H42" s="14">
        <f t="shared" si="4"/>
        <v>41.19547658</v>
      </c>
      <c r="I42" s="4">
        <v>29192.0</v>
      </c>
      <c r="J42" s="14">
        <f t="shared" si="5"/>
        <v>0.8080668554</v>
      </c>
    </row>
    <row r="43" ht="15.75" customHeight="1">
      <c r="A43" s="3" t="s">
        <v>49</v>
      </c>
      <c r="B43" s="4">
        <v>180.0</v>
      </c>
      <c r="C43" s="4">
        <v>323.0</v>
      </c>
      <c r="D43" s="4">
        <f t="shared" si="6"/>
        <v>81541</v>
      </c>
      <c r="E43" s="14">
        <f t="shared" si="3"/>
        <v>0.3976950922</v>
      </c>
      <c r="F43" s="15">
        <f t="shared" si="1"/>
        <v>453.0055556</v>
      </c>
      <c r="G43" s="4">
        <v>659.0</v>
      </c>
      <c r="H43" s="14">
        <f t="shared" si="4"/>
        <v>-24.59954233</v>
      </c>
      <c r="I43" s="4">
        <v>29280.0</v>
      </c>
      <c r="J43" s="14">
        <f t="shared" si="5"/>
        <v>0.3014524527</v>
      </c>
    </row>
    <row r="44" ht="15.75" customHeight="1">
      <c r="A44" s="3" t="s">
        <v>50</v>
      </c>
      <c r="B44" s="4">
        <v>186.0</v>
      </c>
      <c r="C44" s="4">
        <v>319.0</v>
      </c>
      <c r="D44" s="4">
        <f t="shared" si="6"/>
        <v>81860</v>
      </c>
      <c r="E44" s="14">
        <f t="shared" si="3"/>
        <v>0.3912142358</v>
      </c>
      <c r="F44" s="15">
        <f t="shared" si="1"/>
        <v>440.1075269</v>
      </c>
      <c r="G44" s="4">
        <v>646.0</v>
      </c>
      <c r="H44" s="14">
        <f t="shared" si="4"/>
        <v>-1.972685888</v>
      </c>
      <c r="I44" s="4">
        <v>29330.0</v>
      </c>
      <c r="J44" s="14">
        <f t="shared" si="5"/>
        <v>0.1707650273</v>
      </c>
    </row>
    <row r="45" ht="15.75" customHeight="1">
      <c r="A45" s="3" t="s">
        <v>51</v>
      </c>
      <c r="B45" s="4">
        <v>188.0</v>
      </c>
      <c r="C45" s="4">
        <v>322.0</v>
      </c>
      <c r="D45" s="4">
        <f t="shared" si="6"/>
        <v>82182</v>
      </c>
      <c r="E45" s="14">
        <f t="shared" si="3"/>
        <v>0.3933545077</v>
      </c>
      <c r="F45" s="15">
        <f t="shared" si="1"/>
        <v>437.1382979</v>
      </c>
      <c r="G45" s="4">
        <v>724.0</v>
      </c>
      <c r="H45" s="14">
        <f t="shared" si="4"/>
        <v>12.07430341</v>
      </c>
      <c r="I45" s="4">
        <v>29533.0</v>
      </c>
      <c r="J45" s="14">
        <f t="shared" si="5"/>
        <v>0.692124105</v>
      </c>
    </row>
    <row r="46" ht="15.75" customHeight="1">
      <c r="A46" s="3" t="s">
        <v>52</v>
      </c>
      <c r="B46" s="4">
        <v>188.0</v>
      </c>
      <c r="C46" s="4">
        <v>359.0</v>
      </c>
      <c r="D46" s="4">
        <f t="shared" si="6"/>
        <v>82541</v>
      </c>
      <c r="E46" s="14">
        <f t="shared" si="3"/>
        <v>0.4368353167</v>
      </c>
      <c r="F46" s="15">
        <f t="shared" si="1"/>
        <v>439.0478723</v>
      </c>
      <c r="G46" s="4">
        <v>639.0</v>
      </c>
      <c r="H46" s="14">
        <f t="shared" si="4"/>
        <v>-11.74033149</v>
      </c>
      <c r="I46" s="4">
        <v>29202.0</v>
      </c>
      <c r="J46" s="14">
        <f t="shared" si="5"/>
        <v>-1.120780144</v>
      </c>
    </row>
    <row r="47" ht="15.75" customHeight="1">
      <c r="A47" s="3" t="s">
        <v>53</v>
      </c>
      <c r="B47" s="4">
        <v>188.0</v>
      </c>
      <c r="C47" s="4">
        <v>355.0</v>
      </c>
      <c r="D47" s="4">
        <f t="shared" si="6"/>
        <v>82896</v>
      </c>
      <c r="E47" s="14">
        <f t="shared" si="3"/>
        <v>0.430089289</v>
      </c>
      <c r="F47" s="15">
        <f t="shared" si="1"/>
        <v>440.9361702</v>
      </c>
      <c r="G47" s="4">
        <v>644.0</v>
      </c>
      <c r="H47" s="14">
        <f t="shared" si="4"/>
        <v>0.7824726135</v>
      </c>
      <c r="I47" s="4">
        <v>29611.0</v>
      </c>
      <c r="J47" s="14">
        <f t="shared" si="5"/>
        <v>1.400589001</v>
      </c>
    </row>
    <row r="48" ht="15.75" customHeight="1">
      <c r="A48" s="3" t="s">
        <v>54</v>
      </c>
      <c r="B48" s="4">
        <v>191.0</v>
      </c>
      <c r="C48" s="4">
        <v>297.0</v>
      </c>
      <c r="D48" s="4">
        <f t="shared" si="6"/>
        <v>83193</v>
      </c>
      <c r="E48" s="14">
        <f t="shared" si="3"/>
        <v>0.3582802548</v>
      </c>
      <c r="F48" s="15">
        <f t="shared" si="1"/>
        <v>435.565445</v>
      </c>
      <c r="G48" s="4">
        <v>495.0</v>
      </c>
      <c r="H48" s="14">
        <f t="shared" si="4"/>
        <v>-23.13664596</v>
      </c>
      <c r="I48" s="4">
        <v>30052.0</v>
      </c>
      <c r="J48" s="14">
        <f t="shared" si="5"/>
        <v>1.489311405</v>
      </c>
    </row>
    <row r="49" ht="15.75" customHeight="1">
      <c r="A49" s="3" t="s">
        <v>55</v>
      </c>
      <c r="B49" s="4">
        <v>193.0</v>
      </c>
      <c r="C49" s="4">
        <v>307.0</v>
      </c>
      <c r="D49" s="4">
        <f t="shared" si="6"/>
        <v>83500</v>
      </c>
      <c r="E49" s="14">
        <f t="shared" si="3"/>
        <v>0.3690214321</v>
      </c>
      <c r="F49" s="15">
        <f t="shared" si="1"/>
        <v>432.642487</v>
      </c>
      <c r="G49" s="4">
        <v>465.0</v>
      </c>
      <c r="H49" s="14">
        <f t="shared" si="4"/>
        <v>-6.060606061</v>
      </c>
      <c r="I49" s="4">
        <v>30093.0</v>
      </c>
      <c r="J49" s="14">
        <f t="shared" si="5"/>
        <v>0.1364301877</v>
      </c>
    </row>
    <row r="50" ht="15.75" customHeight="1">
      <c r="A50" s="3" t="s">
        <v>56</v>
      </c>
      <c r="B50" s="4">
        <v>193.0</v>
      </c>
      <c r="C50" s="4">
        <v>291.0</v>
      </c>
      <c r="D50" s="4">
        <f t="shared" si="6"/>
        <v>83791</v>
      </c>
      <c r="E50" s="14">
        <f t="shared" si="3"/>
        <v>0.348502994</v>
      </c>
      <c r="F50" s="15">
        <f t="shared" si="1"/>
        <v>434.1502591</v>
      </c>
      <c r="G50" s="4">
        <v>493.0</v>
      </c>
      <c r="H50" s="14">
        <f t="shared" si="4"/>
        <v>6.021505376</v>
      </c>
      <c r="I50" s="4">
        <v>30303.0</v>
      </c>
      <c r="J50" s="14">
        <f t="shared" si="5"/>
        <v>0.6978367062</v>
      </c>
    </row>
    <row r="51" ht="15.75" customHeight="1">
      <c r="A51" s="3" t="s">
        <v>57</v>
      </c>
      <c r="B51" s="4">
        <v>195.0</v>
      </c>
      <c r="C51" s="4">
        <v>269.0</v>
      </c>
      <c r="D51" s="4">
        <f t="shared" si="6"/>
        <v>84060</v>
      </c>
      <c r="E51" s="14">
        <f t="shared" si="3"/>
        <v>0.3210368655</v>
      </c>
      <c r="F51" s="15">
        <f t="shared" si="1"/>
        <v>431.0769231</v>
      </c>
      <c r="G51" s="4">
        <v>549.0</v>
      </c>
      <c r="H51" s="14">
        <f t="shared" si="4"/>
        <v>11.35902637</v>
      </c>
      <c r="I51" s="4">
        <v>30796.0</v>
      </c>
      <c r="J51" s="14">
        <f t="shared" si="5"/>
        <v>1.626901627</v>
      </c>
    </row>
    <row r="52" ht="15.75" customHeight="1">
      <c r="A52" s="3" t="s">
        <v>58</v>
      </c>
      <c r="B52" s="4">
        <v>197.0</v>
      </c>
      <c r="C52" s="4">
        <v>257.0</v>
      </c>
      <c r="D52" s="4">
        <f t="shared" si="6"/>
        <v>84317</v>
      </c>
      <c r="E52" s="14">
        <f t="shared" si="3"/>
        <v>0.3057339995</v>
      </c>
      <c r="F52" s="15">
        <f t="shared" si="1"/>
        <v>428.0050761</v>
      </c>
      <c r="G52" s="4">
        <v>507.0</v>
      </c>
      <c r="H52" s="14">
        <f t="shared" si="4"/>
        <v>-7.650273224</v>
      </c>
      <c r="I52" s="4">
        <v>30863.0</v>
      </c>
      <c r="J52" s="14">
        <f t="shared" si="5"/>
        <v>0.2175607222</v>
      </c>
    </row>
    <row r="53" ht="15.75" customHeight="1">
      <c r="A53" s="3" t="s">
        <v>59</v>
      </c>
      <c r="B53" s="4">
        <v>199.0</v>
      </c>
      <c r="C53" s="4">
        <v>253.0</v>
      </c>
      <c r="D53" s="4">
        <f t="shared" si="6"/>
        <v>84570</v>
      </c>
      <c r="E53" s="14">
        <f t="shared" si="3"/>
        <v>0.300058114</v>
      </c>
      <c r="F53" s="15">
        <f t="shared" si="1"/>
        <v>424.9748744</v>
      </c>
      <c r="G53" s="4">
        <v>539.0</v>
      </c>
      <c r="H53" s="14">
        <f t="shared" si="4"/>
        <v>6.311637081</v>
      </c>
      <c r="I53" s="4">
        <v>30474.0</v>
      </c>
      <c r="J53" s="14">
        <f t="shared" si="5"/>
        <v>-1.260408904</v>
      </c>
    </row>
    <row r="54" ht="15.75" customHeight="1">
      <c r="A54" s="3" t="s">
        <v>60</v>
      </c>
      <c r="B54" s="4">
        <v>199.0</v>
      </c>
      <c r="C54" s="4">
        <v>276.0</v>
      </c>
      <c r="D54" s="4">
        <f t="shared" si="6"/>
        <v>84846</v>
      </c>
      <c r="E54" s="14">
        <f t="shared" si="3"/>
        <v>0.3263568641</v>
      </c>
      <c r="F54" s="15">
        <f t="shared" si="1"/>
        <v>426.361809</v>
      </c>
      <c r="G54" s="4">
        <v>468.0</v>
      </c>
      <c r="H54" s="14">
        <f t="shared" si="4"/>
        <v>-13.17254174</v>
      </c>
      <c r="I54" s="4">
        <v>32023.0</v>
      </c>
      <c r="J54" s="14">
        <f t="shared" si="5"/>
        <v>5.083021592</v>
      </c>
    </row>
    <row r="55" ht="15.75" customHeight="1">
      <c r="A55" s="3" t="s">
        <v>61</v>
      </c>
      <c r="B55" s="4">
        <v>200.0</v>
      </c>
      <c r="C55" s="4">
        <v>258.0</v>
      </c>
      <c r="D55" s="4">
        <f t="shared" si="6"/>
        <v>85104</v>
      </c>
      <c r="E55" s="14">
        <f t="shared" si="3"/>
        <v>0.3040803338</v>
      </c>
      <c r="F55" s="15">
        <f t="shared" si="1"/>
        <v>425.52</v>
      </c>
      <c r="G55" s="4">
        <v>538.0</v>
      </c>
      <c r="H55" s="14">
        <f t="shared" si="4"/>
        <v>14.95726496</v>
      </c>
      <c r="I55" s="4">
        <v>31806.0</v>
      </c>
      <c r="J55" s="14">
        <f t="shared" si="5"/>
        <v>-0.6776379477</v>
      </c>
    </row>
    <row r="56" ht="15.75" customHeight="1">
      <c r="A56" s="3" t="s">
        <v>62</v>
      </c>
      <c r="B56" s="4">
        <v>200.0</v>
      </c>
      <c r="C56" s="4">
        <v>231.0</v>
      </c>
      <c r="D56" s="4">
        <f t="shared" si="6"/>
        <v>85335</v>
      </c>
      <c r="E56" s="14">
        <f t="shared" si="3"/>
        <v>0.2714326001</v>
      </c>
      <c r="F56" s="15">
        <f t="shared" si="1"/>
        <v>426.675</v>
      </c>
      <c r="G56" s="4">
        <v>468.0</v>
      </c>
      <c r="H56" s="14">
        <f t="shared" si="4"/>
        <v>-13.01115242</v>
      </c>
      <c r="I56" s="4">
        <v>30888.0</v>
      </c>
      <c r="J56" s="14">
        <f t="shared" si="5"/>
        <v>-2.886247878</v>
      </c>
    </row>
    <row r="57" ht="15.75" customHeight="1">
      <c r="A57" s="3" t="s">
        <v>63</v>
      </c>
      <c r="B57" s="4">
        <v>202.0</v>
      </c>
      <c r="C57" s="4">
        <v>223.0</v>
      </c>
      <c r="D57" s="4">
        <f t="shared" si="6"/>
        <v>85558</v>
      </c>
      <c r="E57" s="14">
        <f t="shared" si="3"/>
        <v>0.261323021</v>
      </c>
      <c r="F57" s="15">
        <f t="shared" si="1"/>
        <v>423.5544554</v>
      </c>
      <c r="G57" s="4">
        <v>445.0</v>
      </c>
      <c r="H57" s="14">
        <f t="shared" si="4"/>
        <v>-4.914529915</v>
      </c>
      <c r="I57" s="4">
        <v>30129.0</v>
      </c>
      <c r="J57" s="14">
        <f t="shared" si="5"/>
        <v>-2.457264957</v>
      </c>
    </row>
    <row r="58" ht="15.75" customHeight="1">
      <c r="A58" s="3" t="s">
        <v>64</v>
      </c>
      <c r="B58" s="4">
        <v>202.0</v>
      </c>
      <c r="C58" s="4">
        <v>327.0</v>
      </c>
      <c r="D58" s="4">
        <f t="shared" si="6"/>
        <v>85885</v>
      </c>
      <c r="E58" s="14">
        <f t="shared" si="3"/>
        <v>0.3821968723</v>
      </c>
      <c r="F58" s="15">
        <f t="shared" si="1"/>
        <v>425.1732673</v>
      </c>
      <c r="G58" s="4">
        <v>527.0</v>
      </c>
      <c r="H58" s="14">
        <f t="shared" si="4"/>
        <v>18.42696629</v>
      </c>
      <c r="I58" s="4">
        <v>32089.0</v>
      </c>
      <c r="J58" s="14">
        <f t="shared" si="5"/>
        <v>6.505360284</v>
      </c>
    </row>
    <row r="59" ht="15.75" customHeight="1">
      <c r="A59" s="3" t="s">
        <v>65</v>
      </c>
      <c r="B59" s="4">
        <v>202.0</v>
      </c>
      <c r="C59" s="4">
        <v>280.0</v>
      </c>
      <c r="D59" s="4">
        <f t="shared" si="6"/>
        <v>86165</v>
      </c>
      <c r="E59" s="14">
        <f t="shared" si="3"/>
        <v>0.3260173488</v>
      </c>
      <c r="F59" s="15">
        <f t="shared" si="1"/>
        <v>426.5594059</v>
      </c>
      <c r="G59" s="4">
        <v>518.0</v>
      </c>
      <c r="H59" s="14">
        <f t="shared" si="4"/>
        <v>-1.707779886</v>
      </c>
      <c r="I59" s="4">
        <v>32657.0</v>
      </c>
      <c r="J59" s="14">
        <f t="shared" si="5"/>
        <v>1.770076973</v>
      </c>
    </row>
    <row r="60" ht="15.75" customHeight="1">
      <c r="A60" s="3" t="s">
        <v>66</v>
      </c>
      <c r="B60" s="4">
        <v>199.0</v>
      </c>
      <c r="C60" s="4">
        <v>245.0</v>
      </c>
      <c r="D60" s="4">
        <f t="shared" si="6"/>
        <v>86410</v>
      </c>
      <c r="E60" s="14">
        <f t="shared" si="3"/>
        <v>0.2843381884</v>
      </c>
      <c r="F60" s="15">
        <f t="shared" si="1"/>
        <v>434.2211055</v>
      </c>
      <c r="G60" s="4">
        <v>395.0</v>
      </c>
      <c r="H60" s="14">
        <f t="shared" si="4"/>
        <v>-23.74517375</v>
      </c>
      <c r="I60" s="4">
        <v>32960.0</v>
      </c>
      <c r="J60" s="14">
        <f t="shared" si="5"/>
        <v>0.927825581</v>
      </c>
    </row>
    <row r="61" ht="15.75" customHeight="1">
      <c r="A61" s="3" t="s">
        <v>67</v>
      </c>
      <c r="B61" s="4">
        <v>199.0</v>
      </c>
      <c r="C61" s="4">
        <v>423.0</v>
      </c>
      <c r="D61" s="4">
        <f t="shared" si="6"/>
        <v>86833</v>
      </c>
      <c r="E61" s="14">
        <f t="shared" si="3"/>
        <v>0.4895266752</v>
      </c>
      <c r="F61" s="15">
        <f t="shared" si="1"/>
        <v>436.3467337</v>
      </c>
      <c r="G61" s="4">
        <v>721.0</v>
      </c>
      <c r="H61" s="14">
        <f t="shared" si="4"/>
        <v>82.53164557</v>
      </c>
      <c r="I61" s="4">
        <v>32961.0</v>
      </c>
      <c r="J61" s="14">
        <f t="shared" si="5"/>
        <v>0.003033980583</v>
      </c>
    </row>
    <row r="62" ht="15.75" customHeight="1">
      <c r="A62" s="3" t="s">
        <v>68</v>
      </c>
      <c r="B62" s="4">
        <v>199.0</v>
      </c>
      <c r="C62" s="4">
        <v>277.0</v>
      </c>
      <c r="D62" s="4">
        <f t="shared" si="6"/>
        <v>87110</v>
      </c>
      <c r="E62" s="14">
        <f t="shared" si="3"/>
        <v>0.319003144</v>
      </c>
      <c r="F62" s="15">
        <f t="shared" si="1"/>
        <v>437.7386935</v>
      </c>
      <c r="G62" s="4">
        <v>886.0</v>
      </c>
      <c r="H62" s="14">
        <f t="shared" si="4"/>
        <v>22.88488211</v>
      </c>
      <c r="I62" s="4">
        <v>32626.0</v>
      </c>
      <c r="J62" s="14">
        <f t="shared" si="5"/>
        <v>-1.016352659</v>
      </c>
    </row>
    <row r="63" ht="15.75" customHeight="1">
      <c r="A63" s="3" t="s">
        <v>69</v>
      </c>
      <c r="B63" s="4">
        <v>200.0</v>
      </c>
      <c r="C63" s="4">
        <v>284.0</v>
      </c>
      <c r="D63" s="4">
        <f t="shared" si="6"/>
        <v>87394</v>
      </c>
      <c r="E63" s="14">
        <f t="shared" si="3"/>
        <v>0.3260245666</v>
      </c>
      <c r="F63" s="15">
        <f t="shared" si="1"/>
        <v>436.97</v>
      </c>
      <c r="G63" s="4">
        <v>517.0</v>
      </c>
      <c r="H63" s="14">
        <f t="shared" si="4"/>
        <v>-41.64785553</v>
      </c>
      <c r="I63" s="4">
        <v>32671.0</v>
      </c>
      <c r="J63" s="14">
        <f t="shared" si="5"/>
        <v>0.1379268068</v>
      </c>
    </row>
    <row r="64" ht="15.75" customHeight="1">
      <c r="A64" s="3" t="s">
        <v>70</v>
      </c>
      <c r="B64" s="4">
        <v>200.0</v>
      </c>
      <c r="C64" s="4">
        <v>234.0</v>
      </c>
      <c r="D64" s="4">
        <f t="shared" si="6"/>
        <v>87628</v>
      </c>
      <c r="E64" s="14">
        <f t="shared" si="3"/>
        <v>0.267752935</v>
      </c>
      <c r="F64" s="15">
        <f t="shared" si="1"/>
        <v>438.14</v>
      </c>
      <c r="G64" s="4">
        <v>372.0</v>
      </c>
      <c r="H64" s="14">
        <f t="shared" si="4"/>
        <v>-28.04642166</v>
      </c>
      <c r="I64" s="4">
        <v>32595.0</v>
      </c>
      <c r="J64" s="14">
        <f t="shared" si="5"/>
        <v>-0.2326222032</v>
      </c>
    </row>
    <row r="65" ht="15.75" customHeight="1">
      <c r="A65" s="3" t="s">
        <v>71</v>
      </c>
      <c r="B65" s="4">
        <v>200.0</v>
      </c>
      <c r="C65" s="4">
        <v>303.0</v>
      </c>
      <c r="D65" s="4">
        <f t="shared" si="6"/>
        <v>87931</v>
      </c>
      <c r="E65" s="14">
        <f t="shared" si="3"/>
        <v>0.3457798877</v>
      </c>
      <c r="F65" s="15">
        <f t="shared" si="1"/>
        <v>439.655</v>
      </c>
      <c r="G65" s="4">
        <v>849.0</v>
      </c>
      <c r="H65" s="14">
        <f t="shared" si="4"/>
        <v>128.2258065</v>
      </c>
      <c r="I65" s="4">
        <v>32222.0</v>
      </c>
      <c r="J65" s="14">
        <f t="shared" si="5"/>
        <v>-1.144347293</v>
      </c>
    </row>
    <row r="66" ht="15.75" customHeight="1">
      <c r="A66" s="3" t="s">
        <v>72</v>
      </c>
      <c r="B66" s="4">
        <v>200.0</v>
      </c>
      <c r="C66" s="4">
        <v>250.0</v>
      </c>
      <c r="D66" s="4">
        <f t="shared" si="6"/>
        <v>88181</v>
      </c>
      <c r="E66" s="14">
        <f t="shared" si="3"/>
        <v>0.284313837</v>
      </c>
      <c r="F66" s="15">
        <f t="shared" si="1"/>
        <v>440.905</v>
      </c>
      <c r="G66" s="4">
        <v>417.0</v>
      </c>
      <c r="H66" s="14">
        <f t="shared" si="4"/>
        <v>-50.88339223</v>
      </c>
      <c r="I66" s="4">
        <v>31921.0</v>
      </c>
      <c r="J66" s="14">
        <f t="shared" si="5"/>
        <v>-0.9341443734</v>
      </c>
    </row>
    <row r="67" ht="15.75" customHeight="1">
      <c r="A67" s="3" t="s">
        <v>73</v>
      </c>
      <c r="B67" s="4">
        <v>200.0</v>
      </c>
      <c r="C67" s="4">
        <v>254.0</v>
      </c>
      <c r="D67" s="4">
        <f t="shared" si="6"/>
        <v>88435</v>
      </c>
      <c r="E67" s="14">
        <f t="shared" si="3"/>
        <v>0.2880439097</v>
      </c>
      <c r="F67" s="15">
        <f t="shared" si="1"/>
        <v>442.175</v>
      </c>
      <c r="G67" s="4">
        <v>1034.0</v>
      </c>
      <c r="H67" s="14">
        <f t="shared" si="4"/>
        <v>147.9616307</v>
      </c>
      <c r="I67" s="4">
        <v>31841.0</v>
      </c>
      <c r="J67" s="14">
        <f t="shared" si="5"/>
        <v>-0.250618715</v>
      </c>
    </row>
    <row r="68" ht="15.75" customHeight="1">
      <c r="A68" s="3" t="s">
        <v>74</v>
      </c>
      <c r="B68" s="4">
        <v>200.0</v>
      </c>
      <c r="C68" s="4">
        <v>267.0</v>
      </c>
      <c r="D68" s="4">
        <f t="shared" si="6"/>
        <v>88702</v>
      </c>
      <c r="E68" s="14">
        <f t="shared" si="3"/>
        <v>0.301916662</v>
      </c>
      <c r="F68" s="15">
        <f t="shared" si="1"/>
        <v>443.51</v>
      </c>
      <c r="G68" s="4">
        <v>304.0</v>
      </c>
      <c r="H68" s="14">
        <f t="shared" si="4"/>
        <v>-70.59961315</v>
      </c>
      <c r="I68" s="4">
        <v>31529.0</v>
      </c>
      <c r="J68" s="14">
        <f t="shared" si="5"/>
        <v>-0.9798687227</v>
      </c>
    </row>
    <row r="69" ht="15.75" customHeight="1">
      <c r="A69" s="3" t="s">
        <v>75</v>
      </c>
      <c r="B69" s="4">
        <v>200.0</v>
      </c>
      <c r="C69" s="4">
        <v>243.0</v>
      </c>
      <c r="D69" s="4">
        <f t="shared" si="6"/>
        <v>88945</v>
      </c>
      <c r="E69" s="14">
        <f t="shared" si="3"/>
        <v>0.2739509819</v>
      </c>
      <c r="F69" s="15">
        <f t="shared" si="1"/>
        <v>444.725</v>
      </c>
      <c r="G69" s="4">
        <v>104.0</v>
      </c>
      <c r="H69" s="14">
        <f t="shared" si="4"/>
        <v>-65.78947368</v>
      </c>
      <c r="I69" s="4">
        <v>32169.0</v>
      </c>
      <c r="J69" s="14">
        <f t="shared" si="5"/>
        <v>2.029877256</v>
      </c>
    </row>
    <row r="70" ht="15.75" customHeight="1">
      <c r="A70" s="3" t="s">
        <v>76</v>
      </c>
      <c r="B70" s="4">
        <v>200.0</v>
      </c>
      <c r="C70" s="4">
        <v>234.0</v>
      </c>
      <c r="D70" s="4">
        <f t="shared" si="6"/>
        <v>89179</v>
      </c>
      <c r="E70" s="14">
        <f t="shared" si="3"/>
        <v>0.2630839283</v>
      </c>
      <c r="F70" s="15">
        <f t="shared" si="1"/>
        <v>445.895</v>
      </c>
      <c r="G70" s="4">
        <v>537.0</v>
      </c>
      <c r="H70" s="14">
        <f t="shared" si="4"/>
        <v>416.3461538</v>
      </c>
      <c r="I70" s="4">
        <v>32169.0</v>
      </c>
      <c r="J70" s="14">
        <f t="shared" si="5"/>
        <v>0</v>
      </c>
    </row>
    <row r="71" ht="15.75" customHeight="1">
      <c r="A71" s="3" t="s">
        <v>77</v>
      </c>
      <c r="B71" s="4">
        <v>200.0</v>
      </c>
      <c r="C71" s="4">
        <v>222.0</v>
      </c>
      <c r="D71" s="4">
        <f t="shared" si="6"/>
        <v>89401</v>
      </c>
      <c r="E71" s="14">
        <f t="shared" si="3"/>
        <v>0.2489375301</v>
      </c>
      <c r="F71" s="15">
        <f t="shared" si="1"/>
        <v>447.005</v>
      </c>
      <c r="G71" s="4">
        <v>433.0</v>
      </c>
      <c r="H71" s="14">
        <f t="shared" si="4"/>
        <v>-19.36685289</v>
      </c>
      <c r="I71" s="4">
        <v>31834.0</v>
      </c>
      <c r="J71" s="14">
        <f t="shared" si="5"/>
        <v>-1.041375237</v>
      </c>
    </row>
    <row r="72" ht="15.75" customHeight="1">
      <c r="A72" s="3" t="s">
        <v>78</v>
      </c>
      <c r="B72" s="4">
        <v>200.0</v>
      </c>
      <c r="C72" s="4">
        <v>217.0</v>
      </c>
      <c r="D72" s="4">
        <f t="shared" si="6"/>
        <v>89618</v>
      </c>
      <c r="E72" s="14">
        <f t="shared" si="3"/>
        <v>0.2427265914</v>
      </c>
      <c r="F72" s="15">
        <f t="shared" si="1"/>
        <v>448.09</v>
      </c>
      <c r="G72" s="4">
        <v>657.0</v>
      </c>
      <c r="H72" s="14">
        <f t="shared" si="4"/>
        <v>51.73210162</v>
      </c>
      <c r="I72" s="4">
        <v>31791.0</v>
      </c>
      <c r="J72" s="14">
        <f t="shared" si="5"/>
        <v>-0.1350757052</v>
      </c>
    </row>
    <row r="73" ht="15.75" customHeight="1">
      <c r="A73" s="3" t="s">
        <v>79</v>
      </c>
      <c r="B73" s="4">
        <v>200.0</v>
      </c>
      <c r="C73" s="4">
        <v>293.0</v>
      </c>
      <c r="D73" s="4">
        <f t="shared" si="6"/>
        <v>89911</v>
      </c>
      <c r="E73" s="14">
        <f t="shared" si="3"/>
        <v>0.326943248</v>
      </c>
      <c r="F73" s="15">
        <f t="shared" si="1"/>
        <v>449.555</v>
      </c>
      <c r="G73" s="4">
        <v>1664.0</v>
      </c>
      <c r="H73" s="14">
        <f t="shared" si="4"/>
        <v>153.2724505</v>
      </c>
      <c r="I73" s="4">
        <v>32140.0</v>
      </c>
      <c r="J73" s="14">
        <f t="shared" si="5"/>
        <v>1.097794973</v>
      </c>
    </row>
    <row r="74" ht="15.75" customHeight="1">
      <c r="A74" s="3" t="s">
        <v>80</v>
      </c>
      <c r="B74" s="4">
        <v>200.0</v>
      </c>
      <c r="C74" s="4">
        <v>497.0</v>
      </c>
      <c r="D74" s="4">
        <f t="shared" si="6"/>
        <v>90408</v>
      </c>
      <c r="E74" s="14">
        <f t="shared" si="3"/>
        <v>0.5527688492</v>
      </c>
      <c r="F74" s="15">
        <f t="shared" si="1"/>
        <v>452.04</v>
      </c>
      <c r="G74" s="4">
        <v>4743.0</v>
      </c>
      <c r="H74" s="14">
        <f t="shared" si="4"/>
        <v>185.0360577</v>
      </c>
      <c r="I74" s="4">
        <v>31225.0</v>
      </c>
      <c r="J74" s="14">
        <f t="shared" si="5"/>
        <v>-2.846919726</v>
      </c>
    </row>
    <row r="75" ht="15.75" customHeight="1">
      <c r="A75" s="3" t="s">
        <v>81</v>
      </c>
      <c r="B75" s="4">
        <v>200.0</v>
      </c>
      <c r="C75" s="4">
        <v>360.0</v>
      </c>
      <c r="D75" s="4">
        <f t="shared" si="6"/>
        <v>90768</v>
      </c>
      <c r="E75" s="14">
        <f t="shared" si="3"/>
        <v>0.39819485</v>
      </c>
      <c r="F75" s="15">
        <f t="shared" si="1"/>
        <v>453.84</v>
      </c>
      <c r="G75" s="4">
        <v>2259.0</v>
      </c>
      <c r="H75" s="14">
        <f t="shared" si="4"/>
        <v>-52.37191651</v>
      </c>
      <c r="I75" s="4">
        <v>31620.0</v>
      </c>
      <c r="J75" s="14">
        <f t="shared" si="5"/>
        <v>1.26501201</v>
      </c>
    </row>
    <row r="76" ht="15.75" customHeight="1">
      <c r="A76" s="3" t="s">
        <v>82</v>
      </c>
      <c r="B76" s="4">
        <v>210.0</v>
      </c>
      <c r="C76" s="4">
        <v>303.0</v>
      </c>
      <c r="D76" s="4">
        <f t="shared" si="6"/>
        <v>91071</v>
      </c>
      <c r="E76" s="14">
        <f t="shared" si="3"/>
        <v>0.3338180857</v>
      </c>
      <c r="F76" s="15">
        <f t="shared" si="1"/>
        <v>433.6714286</v>
      </c>
      <c r="G76" s="4">
        <v>1276.0</v>
      </c>
      <c r="H76" s="14">
        <f t="shared" si="4"/>
        <v>-43.51482957</v>
      </c>
      <c r="I76" s="4">
        <v>32473.0</v>
      </c>
      <c r="J76" s="14">
        <f t="shared" si="5"/>
        <v>2.697659709</v>
      </c>
    </row>
    <row r="77" ht="15.75" customHeight="1">
      <c r="A77" s="3" t="s">
        <v>83</v>
      </c>
      <c r="B77" s="4">
        <v>210.0</v>
      </c>
      <c r="C77" s="4">
        <v>395.0</v>
      </c>
      <c r="D77" s="4">
        <f t="shared" si="6"/>
        <v>91466</v>
      </c>
      <c r="E77" s="14">
        <f t="shared" si="3"/>
        <v>0.4337275313</v>
      </c>
      <c r="F77" s="15">
        <f t="shared" si="1"/>
        <v>435.552381</v>
      </c>
      <c r="G77" s="4">
        <v>1191.0</v>
      </c>
      <c r="H77" s="14">
        <f t="shared" si="4"/>
        <v>-6.661442006</v>
      </c>
      <c r="I77" s="4">
        <v>32824.0</v>
      </c>
      <c r="J77" s="14">
        <f t="shared" si="5"/>
        <v>1.080897977</v>
      </c>
    </row>
    <row r="78" ht="15.75" customHeight="1">
      <c r="A78" s="3" t="s">
        <v>84</v>
      </c>
      <c r="B78" s="4">
        <v>210.0</v>
      </c>
      <c r="C78" s="4">
        <v>298.0</v>
      </c>
      <c r="D78" s="4">
        <f t="shared" si="6"/>
        <v>91764</v>
      </c>
      <c r="E78" s="14">
        <f t="shared" si="3"/>
        <v>0.3258041239</v>
      </c>
      <c r="F78" s="15">
        <f t="shared" si="1"/>
        <v>436.9714286</v>
      </c>
      <c r="G78" s="4">
        <v>1057.0</v>
      </c>
      <c r="H78" s="14">
        <f t="shared" si="4"/>
        <v>-11.25104954</v>
      </c>
      <c r="I78" s="4">
        <v>33065.0</v>
      </c>
      <c r="J78" s="14">
        <f t="shared" si="5"/>
        <v>0.7342188642</v>
      </c>
    </row>
    <row r="79" ht="15.75" customHeight="1">
      <c r="A79" s="3" t="s">
        <v>85</v>
      </c>
      <c r="B79" s="4">
        <v>211.0</v>
      </c>
      <c r="C79" s="4">
        <v>333.0</v>
      </c>
      <c r="D79" s="4">
        <f t="shared" si="6"/>
        <v>92097</v>
      </c>
      <c r="E79" s="14">
        <f t="shared" si="3"/>
        <v>0.3628874068</v>
      </c>
      <c r="F79" s="15">
        <f t="shared" si="1"/>
        <v>436.478673</v>
      </c>
      <c r="G79" s="4">
        <v>955.0</v>
      </c>
      <c r="H79" s="14">
        <f t="shared" si="4"/>
        <v>-9.649952696</v>
      </c>
      <c r="I79" s="4">
        <v>32769.0</v>
      </c>
      <c r="J79" s="14">
        <f t="shared" si="5"/>
        <v>-0.8952064116</v>
      </c>
    </row>
    <row r="80" ht="15.75" customHeight="1">
      <c r="A80" s="3" t="s">
        <v>86</v>
      </c>
      <c r="B80" s="4">
        <v>212.0</v>
      </c>
      <c r="C80" s="4">
        <v>285.0</v>
      </c>
      <c r="D80" s="4">
        <f t="shared" si="6"/>
        <v>92382</v>
      </c>
      <c r="E80" s="14">
        <f t="shared" si="3"/>
        <v>0.3094563341</v>
      </c>
      <c r="F80" s="15">
        <f t="shared" si="1"/>
        <v>435.7641509</v>
      </c>
      <c r="G80" s="4">
        <v>812.0</v>
      </c>
      <c r="H80" s="14">
        <f t="shared" si="4"/>
        <v>-14.97382199</v>
      </c>
      <c r="I80" s="4">
        <v>32945.0</v>
      </c>
      <c r="J80" s="14">
        <f t="shared" si="5"/>
        <v>0.5370929842</v>
      </c>
    </row>
    <row r="81" ht="15.75" customHeight="1">
      <c r="A81" s="3" t="s">
        <v>87</v>
      </c>
      <c r="B81" s="4">
        <v>215.0</v>
      </c>
      <c r="C81" s="4">
        <v>267.0</v>
      </c>
      <c r="D81" s="4">
        <f t="shared" si="6"/>
        <v>92649</v>
      </c>
      <c r="E81" s="14">
        <f t="shared" si="3"/>
        <v>0.289017341</v>
      </c>
      <c r="F81" s="15">
        <f t="shared" si="1"/>
        <v>430.9255814</v>
      </c>
      <c r="G81" s="4">
        <v>745.0</v>
      </c>
      <c r="H81" s="14">
        <f t="shared" si="4"/>
        <v>-8.251231527</v>
      </c>
      <c r="I81" s="4">
        <v>32886.0</v>
      </c>
      <c r="J81" s="14">
        <f t="shared" si="5"/>
        <v>-0.179086356</v>
      </c>
    </row>
    <row r="82" ht="15.75" customHeight="1">
      <c r="A82" s="3" t="s">
        <v>88</v>
      </c>
      <c r="B82" s="4">
        <v>217.0</v>
      </c>
      <c r="C82" s="4">
        <v>299.0</v>
      </c>
      <c r="D82" s="4">
        <f t="shared" si="6"/>
        <v>92948</v>
      </c>
      <c r="E82" s="14">
        <f t="shared" si="3"/>
        <v>0.3227233969</v>
      </c>
      <c r="F82" s="15">
        <f t="shared" si="1"/>
        <v>428.3317972</v>
      </c>
      <c r="G82" s="4">
        <v>1529.0</v>
      </c>
      <c r="H82" s="14">
        <f t="shared" si="4"/>
        <v>105.2348993</v>
      </c>
      <c r="I82" s="4">
        <v>32311.0</v>
      </c>
      <c r="J82" s="14">
        <f t="shared" si="5"/>
        <v>-1.748464392</v>
      </c>
    </row>
    <row r="83" ht="15.75" customHeight="1">
      <c r="A83" s="3" t="s">
        <v>89</v>
      </c>
      <c r="B83" s="4">
        <v>217.0</v>
      </c>
      <c r="C83" s="4">
        <v>330.0</v>
      </c>
      <c r="D83" s="4">
        <f t="shared" si="6"/>
        <v>93278</v>
      </c>
      <c r="E83" s="14">
        <f t="shared" si="3"/>
        <v>0.3550372251</v>
      </c>
      <c r="F83" s="15">
        <f t="shared" si="1"/>
        <v>429.8525346</v>
      </c>
      <c r="G83" s="4">
        <v>398.0</v>
      </c>
      <c r="H83" s="14">
        <f t="shared" si="4"/>
        <v>-73.96991498</v>
      </c>
      <c r="I83" s="4">
        <v>33409.0</v>
      </c>
      <c r="J83" s="14">
        <f t="shared" si="5"/>
        <v>3.398223515</v>
      </c>
    </row>
    <row r="84" ht="15.75" customHeight="1">
      <c r="A84" s="3" t="s">
        <v>90</v>
      </c>
      <c r="B84" s="4">
        <v>217.0</v>
      </c>
      <c r="C84" s="4">
        <v>265.0</v>
      </c>
      <c r="D84" s="4">
        <f t="shared" si="6"/>
        <v>93543</v>
      </c>
      <c r="E84" s="14">
        <f t="shared" si="3"/>
        <v>0.2840970004</v>
      </c>
      <c r="F84" s="15">
        <f t="shared" si="1"/>
        <v>431.0737327</v>
      </c>
      <c r="G84" s="4">
        <v>679.0</v>
      </c>
      <c r="H84" s="14">
        <f t="shared" si="4"/>
        <v>70.60301508</v>
      </c>
      <c r="I84" s="4">
        <v>33359.0</v>
      </c>
      <c r="J84" s="14">
        <f t="shared" si="5"/>
        <v>-0.1496602712</v>
      </c>
    </row>
    <row r="85" ht="15.75" customHeight="1">
      <c r="A85" s="3" t="s">
        <v>91</v>
      </c>
      <c r="B85" s="4">
        <v>217.0</v>
      </c>
      <c r="C85" s="4">
        <v>265.0</v>
      </c>
      <c r="D85" s="4">
        <f t="shared" si="6"/>
        <v>93808</v>
      </c>
      <c r="E85" s="14">
        <f t="shared" si="3"/>
        <v>0.2832921758</v>
      </c>
      <c r="F85" s="15">
        <f t="shared" si="1"/>
        <v>432.2949309</v>
      </c>
      <c r="G85" s="4">
        <v>843.0</v>
      </c>
      <c r="H85" s="14">
        <f t="shared" si="4"/>
        <v>24.15316642</v>
      </c>
      <c r="I85" s="4">
        <v>33105.0</v>
      </c>
      <c r="J85" s="14">
        <f t="shared" si="5"/>
        <v>-0.7614137114</v>
      </c>
    </row>
    <row r="86" ht="15.75" customHeight="1">
      <c r="A86" s="3" t="s">
        <v>92</v>
      </c>
      <c r="B86" s="4">
        <v>217.0</v>
      </c>
      <c r="C86" s="4">
        <v>371.0</v>
      </c>
      <c r="D86" s="4">
        <f t="shared" si="6"/>
        <v>94179</v>
      </c>
      <c r="E86" s="14">
        <f t="shared" si="3"/>
        <v>0.3954886577</v>
      </c>
      <c r="F86" s="15">
        <f t="shared" si="1"/>
        <v>434.0046083</v>
      </c>
      <c r="G86" s="4">
        <v>884.0</v>
      </c>
      <c r="H86" s="14">
        <f t="shared" si="4"/>
        <v>4.863582444</v>
      </c>
      <c r="I86" s="4">
        <v>33228.0</v>
      </c>
      <c r="J86" s="14">
        <f t="shared" si="5"/>
        <v>0.3715450838</v>
      </c>
    </row>
    <row r="87" ht="15.75" customHeight="1">
      <c r="A87" s="3" t="s">
        <v>93</v>
      </c>
      <c r="B87" s="4">
        <v>218.0</v>
      </c>
      <c r="C87" s="4">
        <v>375.0</v>
      </c>
      <c r="D87" s="4">
        <f t="shared" si="6"/>
        <v>94554</v>
      </c>
      <c r="E87" s="14">
        <f t="shared" si="3"/>
        <v>0.3981779378</v>
      </c>
      <c r="F87" s="15">
        <f t="shared" si="1"/>
        <v>433.733945</v>
      </c>
      <c r="G87" s="4">
        <v>731.0</v>
      </c>
      <c r="H87" s="14">
        <f t="shared" si="4"/>
        <v>-17.30769231</v>
      </c>
      <c r="I87" s="4">
        <v>33313.0</v>
      </c>
      <c r="J87" s="14">
        <f t="shared" si="5"/>
        <v>0.2558083544</v>
      </c>
    </row>
    <row r="88" ht="15.75" customHeight="1">
      <c r="A88" s="3" t="s">
        <v>94</v>
      </c>
      <c r="B88" s="4">
        <v>218.0</v>
      </c>
      <c r="C88" s="4">
        <v>272.0</v>
      </c>
      <c r="D88" s="4">
        <f t="shared" si="6"/>
        <v>94826</v>
      </c>
      <c r="E88" s="14">
        <f t="shared" si="3"/>
        <v>0.2876663071</v>
      </c>
      <c r="F88" s="15">
        <f t="shared" si="1"/>
        <v>434.9816514</v>
      </c>
      <c r="G88" s="4">
        <v>646.0</v>
      </c>
      <c r="H88" s="14">
        <f t="shared" si="4"/>
        <v>-11.62790698</v>
      </c>
      <c r="I88" s="4">
        <v>33545.0</v>
      </c>
      <c r="J88" s="14">
        <f t="shared" si="5"/>
        <v>0.6964248191</v>
      </c>
    </row>
    <row r="89" ht="15.75" customHeight="1">
      <c r="A89" s="3" t="s">
        <v>95</v>
      </c>
      <c r="B89" s="4">
        <v>219.0</v>
      </c>
      <c r="C89" s="4">
        <v>353.0</v>
      </c>
      <c r="D89" s="4">
        <f t="shared" si="6"/>
        <v>95179</v>
      </c>
      <c r="E89" s="14">
        <f t="shared" si="3"/>
        <v>0.3722607724</v>
      </c>
      <c r="F89" s="15">
        <f t="shared" si="1"/>
        <v>434.6073059</v>
      </c>
      <c r="G89" s="4">
        <v>56.0</v>
      </c>
      <c r="H89" s="14">
        <f t="shared" si="4"/>
        <v>-91.33126935</v>
      </c>
      <c r="I89" s="4">
        <v>33723.0</v>
      </c>
      <c r="J89" s="14">
        <f t="shared" si="5"/>
        <v>0.5306304963</v>
      </c>
    </row>
    <row r="90" ht="15.75" customHeight="1">
      <c r="A90" s="3" t="s">
        <v>96</v>
      </c>
      <c r="B90" s="4">
        <v>219.0</v>
      </c>
      <c r="C90" s="4">
        <v>458.0</v>
      </c>
      <c r="D90" s="4">
        <f t="shared" si="6"/>
        <v>95637</v>
      </c>
      <c r="E90" s="14">
        <f t="shared" si="3"/>
        <v>0.4811985837</v>
      </c>
      <c r="F90" s="15">
        <f t="shared" si="1"/>
        <v>436.6986301</v>
      </c>
      <c r="G90" s="4">
        <v>1174.0</v>
      </c>
      <c r="H90" s="14">
        <f t="shared" si="4"/>
        <v>1996.428571</v>
      </c>
      <c r="I90" s="4">
        <v>34938.0</v>
      </c>
      <c r="J90" s="14">
        <f t="shared" si="5"/>
        <v>3.602882306</v>
      </c>
    </row>
    <row r="91" ht="15.75" customHeight="1">
      <c r="A91" s="3" t="s">
        <v>97</v>
      </c>
      <c r="B91" s="4">
        <v>219.0</v>
      </c>
      <c r="C91" s="4">
        <v>344.0</v>
      </c>
      <c r="D91" s="4">
        <f t="shared" si="6"/>
        <v>95981</v>
      </c>
      <c r="E91" s="14">
        <f t="shared" si="3"/>
        <v>0.3596934241</v>
      </c>
      <c r="F91" s="15">
        <f t="shared" si="1"/>
        <v>438.2694064</v>
      </c>
      <c r="G91" s="4">
        <v>698.0</v>
      </c>
      <c r="H91" s="14">
        <f t="shared" si="4"/>
        <v>-40.5451448</v>
      </c>
      <c r="I91" s="4">
        <v>32933.0</v>
      </c>
      <c r="J91" s="14">
        <f t="shared" si="5"/>
        <v>-5.738737192</v>
      </c>
    </row>
    <row r="92" ht="15.75" customHeight="1">
      <c r="A92" s="3" t="s">
        <v>98</v>
      </c>
      <c r="B92" s="4">
        <v>219.0</v>
      </c>
      <c r="C92" s="4">
        <v>311.0</v>
      </c>
      <c r="D92" s="4">
        <f t="shared" si="6"/>
        <v>96292</v>
      </c>
      <c r="E92" s="14">
        <f t="shared" si="3"/>
        <v>0.3240224628</v>
      </c>
      <c r="F92" s="15">
        <f t="shared" si="1"/>
        <v>439.6894977</v>
      </c>
      <c r="G92" s="4">
        <v>647.0</v>
      </c>
      <c r="H92" s="14">
        <f t="shared" si="4"/>
        <v>-7.306590258</v>
      </c>
      <c r="I92" s="4">
        <v>29026.0</v>
      </c>
      <c r="J92" s="14">
        <f t="shared" si="5"/>
        <v>-11.8634804</v>
      </c>
    </row>
    <row r="93" ht="15.75" customHeight="1">
      <c r="A93" s="3" t="s">
        <v>99</v>
      </c>
      <c r="F93" s="9"/>
    </row>
    <row r="94" ht="15.75" customHeight="1">
      <c r="A94" s="3" t="s">
        <v>100</v>
      </c>
      <c r="F94" s="9"/>
    </row>
    <row r="95" ht="15.75" customHeight="1">
      <c r="A95" s="3" t="s">
        <v>101</v>
      </c>
      <c r="F95" s="9"/>
    </row>
    <row r="96" ht="15.75" customHeight="1">
      <c r="A96" s="3" t="s">
        <v>102</v>
      </c>
      <c r="F96" s="9"/>
    </row>
    <row r="97" ht="15.75" customHeight="1">
      <c r="A97" s="3" t="s">
        <v>103</v>
      </c>
      <c r="F97" s="9"/>
    </row>
    <row r="98" ht="15.75" customHeight="1">
      <c r="F98" s="9"/>
    </row>
    <row r="99" ht="15.75" customHeight="1">
      <c r="F99" s="9"/>
    </row>
    <row r="100" ht="15.75" customHeight="1">
      <c r="F100" s="9"/>
    </row>
    <row r="101" ht="15.75" customHeight="1">
      <c r="F101" s="9"/>
    </row>
    <row r="102" ht="15.75" customHeight="1">
      <c r="F102" s="9"/>
    </row>
    <row r="103" ht="15.75" customHeight="1">
      <c r="F103" s="9"/>
    </row>
    <row r="104" ht="15.75" customHeight="1">
      <c r="F104" s="9"/>
    </row>
    <row r="105" ht="15.75" customHeight="1">
      <c r="F105" s="9"/>
    </row>
    <row r="106" ht="15.75" customHeight="1">
      <c r="F106" s="9"/>
    </row>
    <row r="107" ht="15.75" customHeight="1">
      <c r="F107" s="9"/>
    </row>
    <row r="108" ht="15.75" customHeight="1">
      <c r="F108" s="9"/>
    </row>
    <row r="109" ht="15.75" customHeight="1">
      <c r="F109" s="9"/>
    </row>
    <row r="110" ht="15.75" customHeight="1">
      <c r="F110" s="9"/>
    </row>
    <row r="111" ht="15.75" customHeight="1">
      <c r="F111" s="9"/>
    </row>
    <row r="112" ht="15.75" customHeight="1">
      <c r="F112" s="9"/>
    </row>
    <row r="113" ht="15.75" customHeight="1">
      <c r="F113" s="9"/>
    </row>
    <row r="114" ht="15.75" customHeight="1">
      <c r="F114" s="9"/>
    </row>
    <row r="115" ht="15.75" customHeight="1">
      <c r="F115" s="9"/>
    </row>
    <row r="116" ht="15.75" customHeight="1">
      <c r="F116" s="9"/>
    </row>
    <row r="117" ht="15.75" customHeight="1">
      <c r="F117" s="9"/>
    </row>
    <row r="118" ht="15.75" customHeight="1">
      <c r="F118" s="9"/>
    </row>
    <row r="119" ht="15.75" customHeight="1">
      <c r="F119" s="9"/>
    </row>
    <row r="120" ht="15.75" customHeight="1">
      <c r="F120" s="9"/>
    </row>
    <row r="121" ht="15.75" customHeight="1">
      <c r="F121" s="9"/>
    </row>
    <row r="122" ht="15.75" customHeight="1">
      <c r="F122" s="9"/>
    </row>
    <row r="123" ht="15.75" customHeight="1">
      <c r="F123" s="9"/>
    </row>
    <row r="124" ht="15.75" customHeight="1">
      <c r="F124" s="9"/>
    </row>
    <row r="125" ht="15.75" customHeight="1">
      <c r="F125" s="9"/>
    </row>
    <row r="126" ht="15.75" customHeight="1">
      <c r="F126" s="9"/>
    </row>
    <row r="127" ht="15.75" customHeight="1">
      <c r="F127" s="9"/>
    </row>
    <row r="128" ht="15.75" customHeight="1">
      <c r="F128" s="9"/>
    </row>
    <row r="129" ht="15.75" customHeight="1">
      <c r="F129" s="9"/>
    </row>
    <row r="130" ht="15.75" customHeight="1">
      <c r="F130" s="9"/>
    </row>
    <row r="131" ht="15.75" customHeight="1">
      <c r="F131" s="9"/>
    </row>
    <row r="132" ht="15.75" customHeight="1">
      <c r="F132" s="9"/>
    </row>
    <row r="133" ht="15.75" customHeight="1">
      <c r="F133" s="9"/>
    </row>
    <row r="134" ht="15.75" customHeight="1">
      <c r="F134" s="9"/>
    </row>
    <row r="135" ht="15.75" customHeight="1">
      <c r="F135" s="9"/>
    </row>
    <row r="136" ht="15.75" customHeight="1">
      <c r="F136" s="9"/>
    </row>
    <row r="137" ht="15.75" customHeight="1">
      <c r="F137" s="9"/>
    </row>
    <row r="138" ht="15.75" customHeight="1">
      <c r="F138" s="9"/>
    </row>
    <row r="139" ht="15.75" customHeight="1">
      <c r="F139" s="9"/>
    </row>
    <row r="140" ht="15.75" customHeight="1">
      <c r="F140" s="9"/>
    </row>
    <row r="141" ht="15.75" customHeight="1">
      <c r="F141" s="9"/>
    </row>
    <row r="142" ht="15.75" customHeight="1">
      <c r="F142" s="9"/>
    </row>
    <row r="143" ht="15.75" customHeight="1">
      <c r="F143" s="9"/>
    </row>
    <row r="144" ht="15.75" customHeight="1">
      <c r="F144" s="9"/>
    </row>
    <row r="145" ht="15.75" customHeight="1">
      <c r="F145" s="9"/>
    </row>
    <row r="146" ht="15.75" customHeight="1">
      <c r="F146" s="9"/>
    </row>
    <row r="147" ht="15.75" customHeight="1">
      <c r="F147" s="9"/>
    </row>
    <row r="148" ht="15.75" customHeight="1">
      <c r="F148" s="9"/>
    </row>
    <row r="149" ht="15.75" customHeight="1">
      <c r="F149" s="9"/>
    </row>
    <row r="150" ht="15.75" customHeight="1">
      <c r="F150" s="9"/>
    </row>
    <row r="151" ht="15.75" customHeight="1">
      <c r="F151" s="9"/>
    </row>
    <row r="152" ht="15.75" customHeight="1">
      <c r="F152" s="9"/>
    </row>
    <row r="153" ht="15.75" customHeight="1">
      <c r="F153" s="9"/>
    </row>
    <row r="154" ht="15.75" customHeight="1">
      <c r="F154" s="9"/>
    </row>
    <row r="155" ht="15.75" customHeight="1">
      <c r="F155" s="9"/>
    </row>
    <row r="156" ht="15.75" customHeight="1">
      <c r="F156" s="9"/>
    </row>
    <row r="157" ht="15.75" customHeight="1">
      <c r="F157" s="9"/>
    </row>
    <row r="158" ht="15.75" customHeight="1">
      <c r="F158" s="9"/>
    </row>
    <row r="159" ht="15.75" customHeight="1">
      <c r="F159" s="9"/>
    </row>
    <row r="160" ht="15.75" customHeight="1">
      <c r="F160" s="9"/>
    </row>
    <row r="161" ht="15.75" customHeight="1">
      <c r="F161" s="9"/>
    </row>
    <row r="162" ht="15.75" customHeight="1">
      <c r="F162" s="9"/>
    </row>
    <row r="163" ht="15.75" customHeight="1">
      <c r="F163" s="9"/>
    </row>
    <row r="164" ht="15.75" customHeight="1">
      <c r="F164" s="9"/>
    </row>
    <row r="165" ht="15.75" customHeight="1">
      <c r="F165" s="9"/>
    </row>
    <row r="166" ht="15.75" customHeight="1">
      <c r="F166" s="9"/>
    </row>
    <row r="167" ht="15.75" customHeight="1">
      <c r="F167" s="9"/>
    </row>
    <row r="168" ht="15.75" customHeight="1">
      <c r="F168" s="9"/>
    </row>
    <row r="169" ht="15.75" customHeight="1">
      <c r="F169" s="9"/>
    </row>
    <row r="170" ht="15.75" customHeight="1">
      <c r="F170" s="9"/>
    </row>
    <row r="171" ht="15.75" customHeight="1">
      <c r="F171" s="9"/>
    </row>
    <row r="172" ht="15.75" customHeight="1">
      <c r="F172" s="9"/>
    </row>
    <row r="173" ht="15.75" customHeight="1">
      <c r="F173" s="9"/>
    </row>
    <row r="174" ht="15.75" customHeight="1">
      <c r="F174" s="9"/>
    </row>
    <row r="175" ht="15.75" customHeight="1">
      <c r="F175" s="9"/>
    </row>
    <row r="176" ht="15.75" customHeight="1">
      <c r="F176" s="9"/>
    </row>
    <row r="177" ht="15.75" customHeight="1">
      <c r="F177" s="9"/>
    </row>
    <row r="178" ht="15.75" customHeight="1">
      <c r="F178" s="9"/>
    </row>
    <row r="179" ht="15.75" customHeight="1">
      <c r="F179" s="9"/>
    </row>
    <row r="180" ht="15.75" customHeight="1">
      <c r="F180" s="9"/>
    </row>
    <row r="181" ht="15.75" customHeight="1">
      <c r="F181" s="9"/>
    </row>
    <row r="182" ht="15.75" customHeight="1">
      <c r="F182" s="9"/>
    </row>
    <row r="183" ht="15.75" customHeight="1">
      <c r="F183" s="9"/>
    </row>
    <row r="184" ht="15.75" customHeight="1">
      <c r="F184" s="9"/>
    </row>
    <row r="185" ht="15.75" customHeight="1">
      <c r="F185" s="9"/>
    </row>
    <row r="186" ht="15.75" customHeight="1">
      <c r="F186" s="9"/>
    </row>
    <row r="187" ht="15.75" customHeight="1">
      <c r="F187" s="9"/>
    </row>
    <row r="188" ht="15.75" customHeight="1">
      <c r="F188" s="9"/>
    </row>
    <row r="189" ht="15.75" customHeight="1">
      <c r="F189" s="9"/>
    </row>
    <row r="190" ht="15.75" customHeight="1">
      <c r="F190" s="9"/>
    </row>
    <row r="191" ht="15.75" customHeight="1">
      <c r="F191" s="9"/>
    </row>
    <row r="192" ht="15.75" customHeight="1">
      <c r="F192" s="9"/>
    </row>
    <row r="193" ht="15.75" customHeight="1">
      <c r="F193" s="9"/>
    </row>
    <row r="194" ht="15.75" customHeight="1">
      <c r="F194" s="9"/>
    </row>
    <row r="195" ht="15.75" customHeight="1">
      <c r="F195" s="9"/>
    </row>
    <row r="196" ht="15.75" customHeight="1">
      <c r="F196" s="9"/>
    </row>
    <row r="197" ht="15.75" customHeight="1">
      <c r="F197" s="9"/>
    </row>
    <row r="198" ht="15.75" customHeight="1">
      <c r="F198" s="9"/>
    </row>
    <row r="199" ht="15.75" customHeight="1">
      <c r="F199" s="9"/>
    </row>
    <row r="200" ht="15.75" customHeight="1">
      <c r="F200" s="9"/>
    </row>
    <row r="201" ht="15.75" customHeight="1">
      <c r="F201" s="9"/>
    </row>
    <row r="202" ht="15.75" customHeight="1">
      <c r="F202" s="9"/>
    </row>
    <row r="203" ht="15.75" customHeight="1">
      <c r="F203" s="9"/>
    </row>
    <row r="204" ht="15.75" customHeight="1">
      <c r="F204" s="9"/>
    </row>
    <row r="205" ht="15.75" customHeight="1">
      <c r="F205" s="9"/>
    </row>
    <row r="206" ht="15.75" customHeight="1">
      <c r="F206" s="9"/>
    </row>
    <row r="207" ht="15.75" customHeight="1">
      <c r="F207" s="9"/>
    </row>
    <row r="208" ht="15.75" customHeight="1">
      <c r="F208" s="9"/>
    </row>
    <row r="209" ht="15.75" customHeight="1">
      <c r="F209" s="9"/>
    </row>
    <row r="210" ht="15.75" customHeight="1">
      <c r="F210" s="9"/>
    </row>
    <row r="211" ht="15.75" customHeight="1">
      <c r="F211" s="9"/>
    </row>
    <row r="212" ht="15.75" customHeight="1">
      <c r="F212" s="9"/>
    </row>
    <row r="213" ht="15.75" customHeight="1">
      <c r="F213" s="9"/>
    </row>
    <row r="214" ht="15.75" customHeight="1">
      <c r="F214" s="9"/>
    </row>
    <row r="215" ht="15.75" customHeight="1">
      <c r="F215" s="9"/>
    </row>
    <row r="216" ht="15.75" customHeight="1">
      <c r="F216" s="9"/>
    </row>
    <row r="217" ht="15.75" customHeight="1">
      <c r="F217" s="9"/>
    </row>
    <row r="218" ht="15.75" customHeight="1">
      <c r="F218" s="9"/>
    </row>
    <row r="219" ht="15.75" customHeight="1">
      <c r="F219" s="9"/>
    </row>
    <row r="220" ht="15.75" customHeight="1">
      <c r="F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19685039370079" footer="0.0" header="0.0" left="0.7007874015748032" right="0.7007874015748032" top="0.7519685039370079"/>
  <pageSetup paperSize="9" orientation="portrait"/>
  <drawing r:id="rId1"/>
</worksheet>
</file>